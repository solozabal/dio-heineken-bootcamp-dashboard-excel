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F0227357-265D-4CF7-9286-E000CD54D289}" xr6:coauthVersionLast="47" xr6:coauthVersionMax="47" xr10:uidLastSave="{00000000-0000-0000-0000-000000000000}"/>
  <bookViews>
    <workbookView xWindow="-120" yWindow="-120" windowWidth="20730" windowHeight="111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Auto_Renewal1">#N/A</definedName>
    <definedName name="SegmentaçãodeDados_Plan">#N/A</definedName>
    <definedName name="SegmentaçãodeDados_Plan1">#N/A</definedName>
    <definedName name="SegmentaçãodeDados_Start_Date2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5" i="4" l="1"/>
  <c r="M297" i="2"/>
  <c r="C93" i="3"/>
  <c r="F71" i="3"/>
  <c r="K58" i="3"/>
  <c r="C12" i="3"/>
  <c r="H18" i="3"/>
  <c r="C28" i="3"/>
</calcChain>
</file>

<file path=xl/sharedStrings.xml><?xml version="1.0" encoding="utf-8"?>
<sst xmlns="http://schemas.openxmlformats.org/spreadsheetml/2006/main" count="2045" uniqueCount="332">
  <si>
    <t>Paleta de Cores</t>
  </si>
  <si>
    <t>Logos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</si>
  <si>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</si>
  <si>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</si>
  <si>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</si>
  <si>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</si>
  <si>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</si>
  <si>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</si>
  <si>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</si>
  <si>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</si>
  <si>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</si>
  <si>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</si>
  <si>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</si>
  <si>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</si>
  <si>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</si>
  <si>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</si>
  <si>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</si>
  <si>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</si>
  <si>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</si>
  <si>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</si>
  <si>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</si>
  <si>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</si>
  <si>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</si>
  <si>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</si>
  <si>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</si>
  <si>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</si>
  <si>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</si>
  <si>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</si>
  <si>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</si>
  <si>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</si>
  <si>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</si>
  <si>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</si>
  <si>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</si>
  <si>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</si>
  <si>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</si>
  <si>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</si>
  <si>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</si>
  <si>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</si>
  <si>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</si>
  <si>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</si>
  <si>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</si>
  <si>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</si>
  <si>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</si>
  <si>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</si>
  <si>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</si>
  <si>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</si>
  <si>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</si>
  <si>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</si>
  <si>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</si>
  <si>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</si>
  <si>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</si>
  <si>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</si>
  <si>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</si>
  <si>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</si>
  <si>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</si>
  <si>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</si>
  <si>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</si>
  <si>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</si>
  <si>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</si>
  <si>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</si>
  <si>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</si>
  <si>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</si>
  <si>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</si>
  <si>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</si>
  <si>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</si>
  <si>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</si>
  <si>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</si>
  <si>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</si>
  <si>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</si>
  <si>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</si>
  <si>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</si>
  <si>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</si>
  <si>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</si>
  <si>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</si>
  <si>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</si>
  <si>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</si>
  <si>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</si>
  <si>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</si>
  <si>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</si>
  <si>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</si>
  <si>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</si>
  <si>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</si>
  <si>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</si>
  <si>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</si>
  <si>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</si>
  <si>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</si>
  <si>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</si>
  <si>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</si>
  <si>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</si>
  <si>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</si>
  <si>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</si>
  <si>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</si>
  <si>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</si>
  <si>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</si>
  <si>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</si>
  <si>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</si>
  <si>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</si>
  <si>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</si>
  <si>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</si>
  <si>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</si>
  <si>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</si>
  <si>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</si>
  <si>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</si>
  <si>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</si>
  <si>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</si>
  <si>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</si>
  <si>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</si>
  <si>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</si>
  <si>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</si>
  <si>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</si>
  <si>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</si>
  <si>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</si>
  <si>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</si>
  <si>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</si>
  <si>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</si>
  <si>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</si>
  <si>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</si>
  <si>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</si>
  <si>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</si>
  <si>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</si>
  <si>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</si>
  <si>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</si>
  <si>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</si>
  <si>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</si>
  <si>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</si>
  <si>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</si>
  <si>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</si>
  <si>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</si>
  <si>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</si>
  <si>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</si>
  <si>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</si>
  <si>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</si>
  <si>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</si>
  <si>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</si>
  <si>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</si>
  <si>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</si>
  <si>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</si>
  <si>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</si>
  <si>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</si>
  <si>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</si>
  <si>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</si>
  <si>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</si>
  <si>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</si>
  <si>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</si>
  <si>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</si>
  <si>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</si>
  <si>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</si>
  <si>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</si>
  <si>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</si>
  <si>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</si>
  <si>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</si>
  <si>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</si>
  <si>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</si>
  <si>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</si>
  <si>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</si>
  <si>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</si>
  <si>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</si>
  <si>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</si>
  <si>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</si>
  <si>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</si>
  <si>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</si>
  <si>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</si>
  <si>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</si>
  <si>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</si>
  <si>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</si>
  <si>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</si>
  <si>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</si>
  <si>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</si>
  <si>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</si>
  <si>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</si>
  <si>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</si>
  <si>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</si>
  <si>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</si>
  <si>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</si>
  <si>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</si>
  <si>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</si>
  <si>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</si>
  <si>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</si>
  <si>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</si>
  <si>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</si>
  <si>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</si>
  <si>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</si>
  <si>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</si>
  <si>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</si>
  <si>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</si>
  <si>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</si>
  <si>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</si>
  <si>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</si>
  <si>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</si>
  <si>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</si>
  <si>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</si>
  <si>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</si>
  <si>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</si>
  <si>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</si>
  <si>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</si>
  <si>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</si>
  <si>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</si>
  <si>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</si>
  <si>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</si>
  <si>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</si>
  <si>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</si>
  <si>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</si>
  <si>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</si>
  <si>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</si>
  <si>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</si>
  <si>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</si>
  <si>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</si>
  <si>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</si>
  <si>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</si>
  <si>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</si>
  <si>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</si>
  <si>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</si>
  <si>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</si>
  <si>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</si>
  <si>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</si>
  <si>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</si>
  <si>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</si>
  <si>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</si>
  <si>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</si>
  <si>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</si>
  <si>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</si>
  <si>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</si>
  <si>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</si>
  <si>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</si>
  <si>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</si>
  <si>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</si>
  <si>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</si>
  <si>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</si>
  <si>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</si>
  <si>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</si>
  <si>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</si>
  <si>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</si>
  <si>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</si>
  <si>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</si>
  <si>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</si>
  <si>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</si>
  <si>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</si>
  <si>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</si>
  <si>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</si>
  <si>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</si>
  <si>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</si>
  <si>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</si>
  <si>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</si>
  <si>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</si>
  <si>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</si>
  <si>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</si>
  <si>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</si>
  <si>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</si>
  <si>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</si>
  <si>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</si>
  <si>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</si>
  <si>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</si>
  <si>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</si>
  <si>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</si>
  <si>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</si>
  <si>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</si>
  <si>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</si>
  <si>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</si>
  <si>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</si>
  <si>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</si>
  <si>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</si>
  <si>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</si>
  <si>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</si>
  <si>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</si>
  <si>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</si>
  <si>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</si>
  <si>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</si>
  <si>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</si>
  <si>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</si>
  <si>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</si>
  <si>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</si>
  <si>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</si>
  <si>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</si>
  <si>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</si>
  <si>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</si>
  <si>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</si>
  <si>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</si>
  <si>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</si>
  <si>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</si>
  <si>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</si>
  <si>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</si>
  <si>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</si>
  <si>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</si>
  <si>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</si>
  <si>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</si>
  <si>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</si>
  <si>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</si>
  <si>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</si>
  <si>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</si>
  <si>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</si>
  <si>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</si>
  <si>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</si>
  <si>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</si>
  <si>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</si>
  <si>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</si>
  <si>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</si>
  <si>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</si>
  <si>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</si>
  <si>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</si>
  <si>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</si>
  <si>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</si>
  <si>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</si>
  <si>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</si>
  <si>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</si>
  <si>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</si>
  <si>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</si>
  <si>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</si>
  <si>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</si>
  <si>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</si>
  <si>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#5BF6A8</t>
  </si>
  <si>
    <t>#2AE6B1</t>
  </si>
  <si>
    <t>#22C55E</t>
  </si>
  <si>
    <t>#9BC848</t>
  </si>
  <si>
    <t>Total</t>
  </si>
  <si>
    <t>Rótulos de Linha</t>
  </si>
  <si>
    <t>Total Geral</t>
  </si>
  <si>
    <t>(Tudo)</t>
  </si>
  <si>
    <t>Contagem de Subscriber ID</t>
  </si>
  <si>
    <t>Faturamento EA Play Season Pass</t>
  </si>
  <si>
    <t>Faturamento Total</t>
  </si>
  <si>
    <t>Receita Média por Assinante com e sem Cupons Aplicados</t>
  </si>
  <si>
    <t>Total de Assinantes</t>
  </si>
  <si>
    <t>Faturamento Minecraft</t>
  </si>
  <si>
    <t>Valor Total de Cupons</t>
  </si>
  <si>
    <t>Receita Média por Tipo de Plano</t>
  </si>
  <si>
    <t>Média de Preços das Assinaturas</t>
  </si>
  <si>
    <t>Rótulos de Coluna</t>
  </si>
  <si>
    <t>proporção de assinantes com renovação automática ativada por tipo de assinatura</t>
  </si>
  <si>
    <t>s</t>
  </si>
  <si>
    <t>Média de ticket_médio</t>
  </si>
  <si>
    <t>RELATÓRIO XBOX GAME PASS - 2024</t>
  </si>
  <si>
    <t>Olá, Diretor!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</si>
</sst>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R$&quot;\ * #,##0.00_-;\-&quot;R$&quot;\ * #,##0.00_-;_-&quot;R$&quot;\ * &quot;-&quot;??_-;_-@_-"/>
    <numFmt numFmtId="165" formatCode="[$BRL]\ #,##0.00"/>
    <numFmt numFmtId="166" formatCode="_-[$R$-416]\ * #,##0.00_-;\-[$R$-416]\ * #,##0.00_-;_-[$R$-416]\ * &quot;-&quot;??_-;_-@_-"/>
    <numFmt numFmtId="167" formatCode="_-[$R$-416]\ * #,##0_-;\-[$R$-416]\ * #,##0_-;_-[$R$-416]\ * &quot;-&quot;??_-;_-@_-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48"/>
      <color rgb="FF00B050"/>
      <name val="Segoe UI"/>
      <family val="2"/>
    </font>
    <font>
      <sz val="11"/>
      <color theme="2"/>
      <name val="Aptos Narrow"/>
      <family val="2"/>
      <scheme val="minor"/>
    </font>
    <font>
      <u/>
      <sz val="11"/>
      <color theme="2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b/>
      <sz val="15"/>
      <color theme="1"/>
      <name val="Franklin Gothic Dem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4" fillId="0" borderId="0" xfId="0" applyFont="1"/>
    <xf numFmtId="165" fontId="0" fillId="0" borderId="0" xfId="0" applyNumberFormat="1"/>
    <xf numFmtId="166" fontId="0" fillId="0" borderId="0" xfId="0" applyNumberFormat="1"/>
    <xf numFmtId="166" fontId="0" fillId="0" borderId="0" xfId="2" applyNumberFormat="1" applyFont="1"/>
    <xf numFmtId="2" fontId="0" fillId="0" borderId="0" xfId="0" applyNumberFormat="1"/>
    <xf numFmtId="0" fontId="6" fillId="0" borderId="0" xfId="0" applyFont="1"/>
    <xf numFmtId="0" fontId="6" fillId="7" borderId="0" xfId="0" applyFont="1" applyFill="1"/>
    <xf numFmtId="0" fontId="5" fillId="7" borderId="2" xfId="0" applyFont="1" applyFill="1" applyBorder="1"/>
    <xf numFmtId="0" fontId="0" fillId="7" borderId="2" xfId="0" applyFill="1" applyBorder="1"/>
    <xf numFmtId="0" fontId="7" fillId="7" borderId="0" xfId="0" applyFont="1" applyFill="1"/>
    <xf numFmtId="167" fontId="8" fillId="0" borderId="0" xfId="3" applyNumberFormat="1" applyFont="1"/>
    <xf numFmtId="0" fontId="4" fillId="7" borderId="0" xfId="0" applyFont="1" applyFill="1"/>
    <xf numFmtId="0" fontId="5" fillId="7" borderId="0" xfId="0" applyFont="1" applyFill="1"/>
    <xf numFmtId="0" fontId="9" fillId="5" borderId="0" xfId="0" applyFont="1" applyFill="1" applyAlignment="1">
      <alignment horizontal="center" vertical="center"/>
    </xf>
    <xf numFmtId="0" fontId="4" fillId="5" borderId="0" xfId="0" applyFont="1" applyFill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30">
    <dxf>
      <numFmt numFmtId="166" formatCode="_-[$R$-416]\ * #,##0.00_-;\-[$R$-416]\ * #,##0.00_-;_-[$R$-416]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6 2" pivot="0" table="0" count="10" xr9:uid="{15536071-F97D-416A-AFB6-85FCE0EB3FD9}">
      <tableStyleElement type="wholeTable" dxfId="29"/>
      <tableStyleElement type="headerRow" dxfId="28"/>
    </tableStyle>
  </tableStyles>
  <colors>
    <mruColors>
      <color rgb="FF22C55E"/>
      <color rgb="FFE8E6E9"/>
      <color rgb="FF000000"/>
      <color rgb="FF9BC848"/>
      <color rgb="FFE0E0E0"/>
      <color rgb="FF2AE6B1"/>
      <color rgb="FF5BF6A8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[dashboard-finalizado.xlsx]C̳álculos!Tabela dinâmica9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C̳álculos!$C$51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99-4A43-966C-34C41CC0717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99-4A43-966C-34C41CC0717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99-4A43-966C-34C41CC07170}"/>
              </c:ext>
            </c:extLst>
          </c:dPt>
          <c:cat>
            <c:strRef>
              <c:f>C̳álculos!$B$52:$B$55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C̳álculos!$C$52:$C$55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E-46F7-BDC6-C014E18AA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[dashboard-finalizado.xlsx]C̳álculos!proporção de assinantes com renovação automática ativada por tipo de assinatura</c:name>
    <c:fmtId val="6"/>
  </c:pivotSource>
  <c:chart>
    <c:autoTitleDeleted val="0"/>
    <c:pivotFmts>
      <c:pivotFmt>
        <c:idx val="0"/>
        <c:spPr>
          <a:solidFill>
            <a:srgbClr val="9BC848"/>
          </a:solidFill>
          <a:ln>
            <a:solidFill>
              <a:sysClr val="windowText" lastClr="000000"/>
            </a:solidFill>
          </a:ln>
          <a:effectLst/>
          <a:sp3d>
            <a:contourClr>
              <a:sysClr val="windowText" lastClr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solidFill>
              <a:sysClr val="windowText" lastClr="000000"/>
            </a:solidFill>
          </a:ln>
          <a:effectLst/>
          <a:sp3d>
            <a:contourClr>
              <a:sysClr val="windowText" lastClr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C848"/>
          </a:solidFill>
          <a:ln>
            <a:solidFill>
              <a:sysClr val="windowText" lastClr="000000"/>
            </a:solidFill>
          </a:ln>
          <a:effectLst/>
          <a:sp3d>
            <a:contourClr>
              <a:sysClr val="windowText" lastClr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E6B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C̳álculos!$C$66:$C$67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9BC848"/>
            </a:solidFill>
            <a:ln>
              <a:solidFill>
                <a:sysClr val="windowText" lastClr="000000"/>
              </a:solidFill>
            </a:ln>
            <a:effectLst/>
            <a:sp3d>
              <a:contourClr>
                <a:sysClr val="windowText" lastClr="000000"/>
              </a:contourClr>
            </a:sp3d>
          </c:spPr>
          <c:invertIfNegative val="0"/>
          <c:cat>
            <c:strRef>
              <c:f>C̳álculos!$B$68:$B$71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C̳álculos!$C$68:$C$71</c:f>
              <c:numCache>
                <c:formatCode>General</c:formatCode>
                <c:ptCount val="3"/>
                <c:pt idx="0">
                  <c:v>11</c:v>
                </c:pt>
                <c:pt idx="1">
                  <c:v>111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4-4B93-8B0F-74C744C560F3}"/>
            </c:ext>
          </c:extLst>
        </c:ser>
        <c:ser>
          <c:idx val="1"/>
          <c:order val="1"/>
          <c:tx>
            <c:strRef>
              <c:f>C̳álculos!$D$66:$D$67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C̳álculos!$B$68:$B$71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C̳álculos!$D$68:$D$71</c:f>
              <c:numCache>
                <c:formatCode>General</c:formatCode>
                <c:ptCount val="3"/>
                <c:pt idx="0">
                  <c:v>60</c:v>
                </c:pt>
                <c:pt idx="1">
                  <c:v>28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C4-4B93-8B0F-74C744C56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7495224"/>
        <c:axId val="627497520"/>
        <c:axId val="0"/>
      </c:bar3DChart>
      <c:catAx>
        <c:axId val="627495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497520"/>
        <c:crosses val="autoZero"/>
        <c:auto val="1"/>
        <c:lblAlgn val="ctr"/>
        <c:lblOffset val="100"/>
        <c:noMultiLvlLbl val="0"/>
      </c:catAx>
      <c:valAx>
        <c:axId val="62749752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495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chart" Target="../charts/chart2.xml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304800</xdr:colOff>
      <xdr:row>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5</xdr:col>
      <xdr:colOff>533513</xdr:colOff>
      <xdr:row>57</xdr:row>
      <xdr:rowOff>104179</xdr:rowOff>
    </xdr:from>
    <xdr:to>
      <xdr:col>7</xdr:col>
      <xdr:colOff>1106129</xdr:colOff>
      <xdr:row>70</xdr:row>
      <xdr:rowOff>134541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C952B7F-8C90-41EF-BA7E-1F6FD8D79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485775</xdr:colOff>
      <xdr:row>55</xdr:row>
      <xdr:rowOff>47625</xdr:rowOff>
    </xdr:from>
    <xdr:to>
      <xdr:col>3</xdr:col>
      <xdr:colOff>1359466</xdr:colOff>
      <xdr:row>61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lan">
              <a:extLst>
                <a:ext uri="{FF2B5EF4-FFF2-40B4-BE49-F238E27FC236}">
                  <a16:creationId xmlns:a16="http://schemas.microsoft.com/office/drawing/2014/main" id="{5F72C0BF-8484-4DF8-859E-758CED8AF6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38789" y="10094543"/>
              <a:ext cx="1826191" cy="12008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9525</xdr:colOff>
      <xdr:row>55</xdr:row>
      <xdr:rowOff>66675</xdr:rowOff>
    </xdr:from>
    <xdr:to>
      <xdr:col>2</xdr:col>
      <xdr:colOff>75286</xdr:colOff>
      <xdr:row>60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Auto Renewal">
              <a:extLst>
                <a:ext uri="{FF2B5EF4-FFF2-40B4-BE49-F238E27FC236}">
                  <a16:creationId xmlns:a16="http://schemas.microsoft.com/office/drawing/2014/main" id="{904B93A1-D0DB-4B89-A36A-BFB9304CFF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066" y="10113593"/>
              <a:ext cx="1827234" cy="9133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619125</xdr:colOff>
      <xdr:row>71</xdr:row>
      <xdr:rowOff>171450</xdr:rowOff>
    </xdr:from>
    <xdr:to>
      <xdr:col>1</xdr:col>
      <xdr:colOff>1760559</xdr:colOff>
      <xdr:row>85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Plan 3">
              <a:extLst>
                <a:ext uri="{FF2B5EF4-FFF2-40B4-BE49-F238E27FC236}">
                  <a16:creationId xmlns:a16="http://schemas.microsoft.com/office/drawing/2014/main" id="{FD314C29-7F1E-4092-94B0-B3E85208ED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" y="13141108"/>
              <a:ext cx="1832975" cy="25478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3933825</xdr:colOff>
      <xdr:row>71</xdr:row>
      <xdr:rowOff>161925</xdr:rowOff>
    </xdr:from>
    <xdr:to>
      <xdr:col>3</xdr:col>
      <xdr:colOff>875386</xdr:colOff>
      <xdr:row>85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Start Date 3">
              <a:extLst>
                <a:ext uri="{FF2B5EF4-FFF2-40B4-BE49-F238E27FC236}">
                  <a16:creationId xmlns:a16="http://schemas.microsoft.com/office/drawing/2014/main" id="{51AA75CF-842C-4F22-BB0E-2B851E514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rt Dat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3666" y="13131583"/>
              <a:ext cx="1827234" cy="25478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89297</xdr:colOff>
      <xdr:row>3</xdr:row>
      <xdr:rowOff>44647</xdr:rowOff>
    </xdr:from>
    <xdr:to>
      <xdr:col>4</xdr:col>
      <xdr:colOff>168809</xdr:colOff>
      <xdr:row>3</xdr:row>
      <xdr:rowOff>880612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0D3B58-07C6-4599-92C6-FEBBFE0251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379" t="-15410" r="66303" b="-6571"/>
        <a:stretch/>
      </xdr:blipFill>
      <xdr:spPr>
        <a:xfrm>
          <a:off x="2083594" y="223241"/>
          <a:ext cx="927832" cy="848321"/>
        </a:xfrm>
        <a:prstGeom prst="rect">
          <a:avLst/>
        </a:prstGeom>
      </xdr:spPr>
    </xdr:pic>
    <xdr:clientData/>
  </xdr:twoCellAnchor>
  <xdr:twoCellAnchor>
    <xdr:from>
      <xdr:col>2</xdr:col>
      <xdr:colOff>57150</xdr:colOff>
      <xdr:row>20</xdr:row>
      <xdr:rowOff>38100</xdr:rowOff>
    </xdr:from>
    <xdr:to>
      <xdr:col>11</xdr:col>
      <xdr:colOff>600075</xdr:colOff>
      <xdr:row>30</xdr:row>
      <xdr:rowOff>53576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27C18FEC-F1C7-43C2-AD3A-B60911CE6FE4}"/>
            </a:ext>
          </a:extLst>
        </xdr:cNvPr>
        <xdr:cNvGrpSpPr/>
      </xdr:nvGrpSpPr>
      <xdr:grpSpPr>
        <a:xfrm>
          <a:off x="2321584" y="4566968"/>
          <a:ext cx="5449199" cy="1812646"/>
          <a:chOff x="2590800" y="3767139"/>
          <a:chExt cx="5486400" cy="1825226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82314741-5BEB-4484-A55C-9444634707BA}"/>
              </a:ext>
            </a:extLst>
          </xdr:cNvPr>
          <xdr:cNvSpPr/>
        </xdr:nvSpPr>
        <xdr:spPr>
          <a:xfrm>
            <a:off x="2590800" y="3819778"/>
            <a:ext cx="5486400" cy="1675079"/>
          </a:xfrm>
          <a:prstGeom prst="roundRect">
            <a:avLst>
              <a:gd name="adj" fmla="val 789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28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815CEFC3-4898-4034-B916-3A056BA8FD05}"/>
              </a:ext>
            </a:extLst>
          </xdr:cNvPr>
          <xdr:cNvSpPr/>
        </xdr:nvSpPr>
        <xdr:spPr>
          <a:xfrm>
            <a:off x="3962716" y="4214731"/>
            <a:ext cx="4105394" cy="1260748"/>
          </a:xfrm>
          <a:prstGeom prst="roundRect">
            <a:avLst>
              <a:gd name="adj" fmla="val 789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7DD7E25-DDE0-498A-84C5-F5E098298EB4}" type="TxLink">
              <a:rPr lang="en-US" sz="5000" b="1" i="0" u="none" strike="noStrike">
                <a:solidFill>
                  <a:schemeClr val="accent6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R$ 2,940.00 </a:t>
            </a:fld>
            <a:endParaRPr lang="en-US" sz="5000" b="1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E6C34BD-AEA4-4FB2-A485-587A120D11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42060" y="4295523"/>
            <a:ext cx="1651854" cy="1296842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978E5A00-C529-4317-9396-D7BDA133CD5A}"/>
              </a:ext>
            </a:extLst>
          </xdr:cNvPr>
          <xdr:cNvSpPr/>
        </xdr:nvSpPr>
        <xdr:spPr>
          <a:xfrm>
            <a:off x="2590800" y="3767139"/>
            <a:ext cx="5486400" cy="469854"/>
          </a:xfrm>
          <a:prstGeom prst="round2Same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Faturamento EA Play Season Pass</a:t>
            </a:r>
          </a:p>
        </xdr:txBody>
      </xdr:sp>
    </xdr:grpSp>
    <xdr:clientData/>
  </xdr:twoCellAnchor>
  <xdr:twoCellAnchor editAs="absolute">
    <xdr:from>
      <xdr:col>0</xdr:col>
      <xdr:colOff>104776</xdr:colOff>
      <xdr:row>16</xdr:row>
      <xdr:rowOff>156532</xdr:rowOff>
    </xdr:from>
    <xdr:to>
      <xdr:col>0</xdr:col>
      <xdr:colOff>1866900</xdr:colOff>
      <xdr:row>23</xdr:row>
      <xdr:rowOff>156533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Subscription Type">
              <a:extLst>
                <a:ext uri="{FF2B5EF4-FFF2-40B4-BE49-F238E27FC236}">
                  <a16:creationId xmlns:a16="http://schemas.microsoft.com/office/drawing/2014/main" id="{0F67E397-CDAA-4907-A50B-6A1301C253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6" y="3966532"/>
              <a:ext cx="1762124" cy="1258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161926</xdr:colOff>
      <xdr:row>35</xdr:row>
      <xdr:rowOff>161925</xdr:rowOff>
    </xdr:from>
    <xdr:to>
      <xdr:col>0</xdr:col>
      <xdr:colOff>1924050</xdr:colOff>
      <xdr:row>42</xdr:row>
      <xdr:rowOff>117276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Plan 1">
              <a:extLst>
                <a:ext uri="{FF2B5EF4-FFF2-40B4-BE49-F238E27FC236}">
                  <a16:creationId xmlns:a16="http://schemas.microsoft.com/office/drawing/2014/main" id="{7CE94668-7137-405D-B7F4-5DFB8A92A0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6" y="7386548"/>
              <a:ext cx="1762124" cy="1213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34</xdr:row>
      <xdr:rowOff>0</xdr:rowOff>
    </xdr:from>
    <xdr:to>
      <xdr:col>12</xdr:col>
      <xdr:colOff>8995</xdr:colOff>
      <xdr:row>44</xdr:row>
      <xdr:rowOff>133946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AD38DDF4-108B-4B9E-9BB3-6A1B3232B273}"/>
            </a:ext>
          </a:extLst>
        </xdr:cNvPr>
        <xdr:cNvGrpSpPr/>
      </xdr:nvGrpSpPr>
      <xdr:grpSpPr>
        <a:xfrm>
          <a:off x="2264434" y="7044906"/>
          <a:ext cx="5598193" cy="1931115"/>
          <a:chOff x="2502098" y="6105525"/>
          <a:chExt cx="5638270" cy="1943696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39F782E0-B176-4B4B-A542-DF3C73735AC7}"/>
              </a:ext>
            </a:extLst>
          </xdr:cNvPr>
          <xdr:cNvSpPr/>
        </xdr:nvSpPr>
        <xdr:spPr>
          <a:xfrm>
            <a:off x="2502098" y="6150892"/>
            <a:ext cx="5575103" cy="1898329"/>
          </a:xfrm>
          <a:prstGeom prst="roundRect">
            <a:avLst>
              <a:gd name="adj" fmla="val 789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H18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13A26819-3517-4BC6-999C-481375E916D0}"/>
              </a:ext>
            </a:extLst>
          </xdr:cNvPr>
          <xdr:cNvSpPr/>
        </xdr:nvSpPr>
        <xdr:spPr>
          <a:xfrm>
            <a:off x="4150408" y="6598482"/>
            <a:ext cx="3989960" cy="1428777"/>
          </a:xfrm>
          <a:prstGeom prst="roundRect">
            <a:avLst>
              <a:gd name="adj" fmla="val 789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9ED29FE-D9CE-4100-B2FC-0960350D1151}" type="TxLink">
              <a:rPr lang="en-US" sz="5000" b="1" i="0" u="none" strike="noStrike">
                <a:solidFill>
                  <a:schemeClr val="accent6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R$ 3,880.00 </a:t>
            </a:fld>
            <a:endParaRPr lang="en-US" sz="5000" b="1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5BB0662F-7B9B-42E1-B67A-D82BB00FE229}"/>
              </a:ext>
            </a:extLst>
          </xdr:cNvPr>
          <xdr:cNvSpPr/>
        </xdr:nvSpPr>
        <xdr:spPr>
          <a:xfrm>
            <a:off x="2511623" y="6105525"/>
            <a:ext cx="5565577" cy="532475"/>
          </a:xfrm>
          <a:prstGeom prst="round2Same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Faturamento Minecraft</a:t>
            </a:r>
            <a:r>
              <a:rPr lang="pt-BR" sz="2400" b="1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24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7C62B0A8-03A0-4403-B115-F570382A2BDE}"/>
              </a:ext>
            </a:extLst>
          </xdr:cNvPr>
          <xdr:cNvGrpSpPr/>
        </xdr:nvGrpSpPr>
        <xdr:grpSpPr>
          <a:xfrm>
            <a:off x="2783692" y="6856836"/>
            <a:ext cx="1183624" cy="838587"/>
            <a:chOff x="3495675" y="5400673"/>
            <a:chExt cx="1294113" cy="710089"/>
          </a:xfrm>
        </xdr:grpSpPr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84688AFF-B546-4CB6-A674-C958CE1F37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3"/>
              <a:ext cx="463947" cy="509133"/>
            </a:xfrm>
            <a:prstGeom prst="rect">
              <a:avLst/>
            </a:prstGeom>
          </xdr:spPr>
        </xdr:pic>
        <xdr:pic>
          <xdr:nvPicPr>
            <xdr:cNvPr id="30" name="Gráfico 29">
              <a:extLst>
                <a:ext uri="{FF2B5EF4-FFF2-40B4-BE49-F238E27FC236}">
                  <a16:creationId xmlns:a16="http://schemas.microsoft.com/office/drawing/2014/main" id="{988C667F-0C16-407F-BEF5-C7C4D6303B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8"/>
              <a:ext cx="1294113" cy="214824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344833</xdr:colOff>
      <xdr:row>3</xdr:row>
      <xdr:rowOff>638941</xdr:rowOff>
    </xdr:from>
    <xdr:to>
      <xdr:col>0</xdr:col>
      <xdr:colOff>1431277</xdr:colOff>
      <xdr:row>7</xdr:row>
      <xdr:rowOff>95476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CA8B6CA4-D94B-4C04-BB59-A8C8ECB5D0D4}"/>
            </a:ext>
          </a:extLst>
        </xdr:cNvPr>
        <xdr:cNvSpPr/>
      </xdr:nvSpPr>
      <xdr:spPr>
        <a:xfrm>
          <a:off x="344833" y="1178092"/>
          <a:ext cx="1086444" cy="984129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11</xdr:col>
      <xdr:colOff>639961</xdr:colOff>
      <xdr:row>16</xdr:row>
      <xdr:rowOff>98943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80832380-5D88-41A6-BD55-A74E9D55CEDD}"/>
            </a:ext>
          </a:extLst>
        </xdr:cNvPr>
        <xdr:cNvGrpSpPr/>
      </xdr:nvGrpSpPr>
      <xdr:grpSpPr>
        <a:xfrm>
          <a:off x="2264434" y="2192547"/>
          <a:ext cx="5546235" cy="1716396"/>
          <a:chOff x="2277070" y="1398984"/>
          <a:chExt cx="5498902" cy="1706287"/>
        </a:xfrm>
      </xdr:grpSpPr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0349414F-BF67-482E-88DD-2EE0CD5991AD}"/>
              </a:ext>
            </a:extLst>
          </xdr:cNvPr>
          <xdr:cNvSpPr/>
        </xdr:nvSpPr>
        <xdr:spPr>
          <a:xfrm>
            <a:off x="2277070" y="1451623"/>
            <a:ext cx="5498902" cy="1653648"/>
          </a:xfrm>
          <a:prstGeom prst="roundRect">
            <a:avLst>
              <a:gd name="adj" fmla="val 789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12">
        <xdr:nvSpPr>
          <xdr:cNvPr id="38" name="Retângulo: Cantos Arredondados 37">
            <a:extLst>
              <a:ext uri="{FF2B5EF4-FFF2-40B4-BE49-F238E27FC236}">
                <a16:creationId xmlns:a16="http://schemas.microsoft.com/office/drawing/2014/main" id="{FC170C0F-F8F7-42BF-8F18-5ACBD1C9CC4C}"/>
              </a:ext>
            </a:extLst>
          </xdr:cNvPr>
          <xdr:cNvSpPr/>
        </xdr:nvSpPr>
        <xdr:spPr>
          <a:xfrm>
            <a:off x="2928342" y="1828924"/>
            <a:ext cx="3931318" cy="1244079"/>
          </a:xfrm>
          <a:prstGeom prst="roundRect">
            <a:avLst>
              <a:gd name="adj" fmla="val 789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8B712D6-DD2F-482D-99DD-70FE21000110}" type="TxLink">
              <a:rPr lang="en-US" sz="5000" b="1" i="0" u="none" strike="noStrike">
                <a:solidFill>
                  <a:schemeClr val="accent6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R$ 7,633.00 </a:t>
            </a:fld>
            <a:endParaRPr lang="en-US" sz="5000" b="1" i="0" u="none" strike="noStrike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0" name="Retângulo: Cantos Superiores Arredondados 39">
            <a:extLst>
              <a:ext uri="{FF2B5EF4-FFF2-40B4-BE49-F238E27FC236}">
                <a16:creationId xmlns:a16="http://schemas.microsoft.com/office/drawing/2014/main" id="{39D6B81F-99CD-4C5D-9C79-7A6FFF6C1E93}"/>
              </a:ext>
            </a:extLst>
          </xdr:cNvPr>
          <xdr:cNvSpPr/>
        </xdr:nvSpPr>
        <xdr:spPr>
          <a:xfrm>
            <a:off x="2277070" y="1398984"/>
            <a:ext cx="5498902" cy="465092"/>
          </a:xfrm>
          <a:prstGeom prst="round2Same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Faturamento Total</a:t>
            </a:r>
          </a:p>
        </xdr:txBody>
      </xdr:sp>
    </xdr:grpSp>
    <xdr:clientData/>
  </xdr:twoCellAnchor>
  <xdr:twoCellAnchor>
    <xdr:from>
      <xdr:col>13</xdr:col>
      <xdr:colOff>390524</xdr:colOff>
      <xdr:row>8</xdr:row>
      <xdr:rowOff>33338</xdr:rowOff>
    </xdr:from>
    <xdr:to>
      <xdr:col>22</xdr:col>
      <xdr:colOff>269576</xdr:colOff>
      <xdr:row>18</xdr:row>
      <xdr:rowOff>138044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C81E3FBC-BB39-40F8-9732-0C78B0F5DEDD}"/>
            </a:ext>
          </a:extLst>
        </xdr:cNvPr>
        <xdr:cNvGrpSpPr/>
      </xdr:nvGrpSpPr>
      <xdr:grpSpPr>
        <a:xfrm>
          <a:off x="8927081" y="2225885"/>
          <a:ext cx="5845655" cy="2081593"/>
          <a:chOff x="9439275" y="2533650"/>
          <a:chExt cx="6619280" cy="2184203"/>
        </a:xfrm>
      </xdr:grpSpPr>
      <xdr:sp macro="" textlink="">
        <xdr:nvSpPr>
          <xdr:cNvPr id="45" name="Retângulo: Cantos Arredondados 44">
            <a:extLst>
              <a:ext uri="{FF2B5EF4-FFF2-40B4-BE49-F238E27FC236}">
                <a16:creationId xmlns:a16="http://schemas.microsoft.com/office/drawing/2014/main" id="{2B9B31E7-A6E0-4320-911D-F27E63CDEA0F}"/>
              </a:ext>
            </a:extLst>
          </xdr:cNvPr>
          <xdr:cNvSpPr/>
        </xdr:nvSpPr>
        <xdr:spPr>
          <a:xfrm>
            <a:off x="9439275" y="2586289"/>
            <a:ext cx="6619280" cy="2131564"/>
          </a:xfrm>
          <a:prstGeom prst="roundRect">
            <a:avLst>
              <a:gd name="adj" fmla="val 789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7" name="Retângulo: Cantos Superiores Arredondados 46">
            <a:extLst>
              <a:ext uri="{FF2B5EF4-FFF2-40B4-BE49-F238E27FC236}">
                <a16:creationId xmlns:a16="http://schemas.microsoft.com/office/drawing/2014/main" id="{33FD7991-DEE7-47A9-8681-25AFAD677C26}"/>
              </a:ext>
            </a:extLst>
          </xdr:cNvPr>
          <xdr:cNvSpPr/>
        </xdr:nvSpPr>
        <xdr:spPr>
          <a:xfrm>
            <a:off x="9439275" y="2533650"/>
            <a:ext cx="6604398" cy="465092"/>
          </a:xfrm>
          <a:prstGeom prst="round2Same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Receita</a:t>
            </a:r>
            <a:r>
              <a:rPr lang="pt-BR" sz="2400" b="1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Média por Tipo de Plano</a:t>
            </a:r>
            <a:endParaRPr lang="pt-BR" sz="24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K58">
        <xdr:nvSpPr>
          <xdr:cNvPr id="48" name="Retângulo: Cantos Arredondados 47">
            <a:extLst>
              <a:ext uri="{FF2B5EF4-FFF2-40B4-BE49-F238E27FC236}">
                <a16:creationId xmlns:a16="http://schemas.microsoft.com/office/drawing/2014/main" id="{750CBF2C-A22C-4B2E-9A11-62B1FE9808CF}"/>
              </a:ext>
            </a:extLst>
          </xdr:cNvPr>
          <xdr:cNvSpPr/>
        </xdr:nvSpPr>
        <xdr:spPr>
          <a:xfrm>
            <a:off x="11206757" y="3256014"/>
            <a:ext cx="2724341" cy="1244079"/>
          </a:xfrm>
          <a:prstGeom prst="roundRect">
            <a:avLst>
              <a:gd name="adj" fmla="val 789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14BAECA-6522-46BA-82E4-53C0BBC3861B}" type="TxLink">
              <a:rPr lang="en-US" sz="3800" b="1" i="0" u="none" strike="noStrike">
                <a:solidFill>
                  <a:schemeClr val="accent6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R$ 9.95 </a:t>
            </a:fld>
            <a:endParaRPr lang="en-US" sz="3800" b="1" i="0" u="none" strike="noStrike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13</xdr:col>
      <xdr:colOff>357903</xdr:colOff>
      <xdr:row>20</xdr:row>
      <xdr:rowOff>7144</xdr:rowOff>
    </xdr:from>
    <xdr:to>
      <xdr:col>31</xdr:col>
      <xdr:colOff>676413</xdr:colOff>
      <xdr:row>45</xdr:row>
      <xdr:rowOff>13805</xdr:rowOff>
    </xdr:to>
    <xdr:grpSp>
      <xdr:nvGrpSpPr>
        <xdr:cNvPr id="58" name="Agrupar 57">
          <a:extLst>
            <a:ext uri="{FF2B5EF4-FFF2-40B4-BE49-F238E27FC236}">
              <a16:creationId xmlns:a16="http://schemas.microsoft.com/office/drawing/2014/main" id="{904C8473-E493-40FF-89FA-F0A25977B276}"/>
            </a:ext>
          </a:extLst>
        </xdr:cNvPr>
        <xdr:cNvGrpSpPr/>
      </xdr:nvGrpSpPr>
      <xdr:grpSpPr>
        <a:xfrm>
          <a:off x="8894460" y="4536012"/>
          <a:ext cx="12431434" cy="4499585"/>
          <a:chOff x="8971816" y="3748122"/>
          <a:chExt cx="12562967" cy="4493074"/>
        </a:xfrm>
      </xdr:grpSpPr>
      <xdr:sp macro="" textlink="">
        <xdr:nvSpPr>
          <xdr:cNvPr id="53" name="Retângulo: Cantos Arredondados 52">
            <a:extLst>
              <a:ext uri="{FF2B5EF4-FFF2-40B4-BE49-F238E27FC236}">
                <a16:creationId xmlns:a16="http://schemas.microsoft.com/office/drawing/2014/main" id="{16E033D0-8215-4314-8954-1645B851F993}"/>
              </a:ext>
            </a:extLst>
          </xdr:cNvPr>
          <xdr:cNvSpPr/>
        </xdr:nvSpPr>
        <xdr:spPr>
          <a:xfrm>
            <a:off x="8971816" y="3886932"/>
            <a:ext cx="12562967" cy="4354264"/>
          </a:xfrm>
          <a:prstGeom prst="roundRect">
            <a:avLst>
              <a:gd name="adj" fmla="val 789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4" name="Retângulo: Cantos Superiores Arredondados 53">
            <a:extLst>
              <a:ext uri="{FF2B5EF4-FFF2-40B4-BE49-F238E27FC236}">
                <a16:creationId xmlns:a16="http://schemas.microsoft.com/office/drawing/2014/main" id="{878886EA-9C4C-4333-BB12-AC39FE487085}"/>
              </a:ext>
            </a:extLst>
          </xdr:cNvPr>
          <xdr:cNvSpPr/>
        </xdr:nvSpPr>
        <xdr:spPr>
          <a:xfrm>
            <a:off x="8978243" y="3748122"/>
            <a:ext cx="12542735" cy="1109658"/>
          </a:xfrm>
          <a:prstGeom prst="round2Same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3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Proporção de Assinantes com Renovação Automática Ativada por Tipo de Assinatura</a:t>
            </a:r>
          </a:p>
        </xdr:txBody>
      </xdr:sp>
      <xdr:sp macro="" textlink="C̳álculos!F71">
        <xdr:nvSpPr>
          <xdr:cNvPr id="55" name="Retângulo: Cantos Arredondados 54">
            <a:extLst>
              <a:ext uri="{FF2B5EF4-FFF2-40B4-BE49-F238E27FC236}">
                <a16:creationId xmlns:a16="http://schemas.microsoft.com/office/drawing/2014/main" id="{D842BCC3-A112-48ED-8290-646796D55C0B}"/>
              </a:ext>
            </a:extLst>
          </xdr:cNvPr>
          <xdr:cNvSpPr/>
        </xdr:nvSpPr>
        <xdr:spPr>
          <a:xfrm>
            <a:off x="12114848" y="5315761"/>
            <a:ext cx="3796197" cy="2207609"/>
          </a:xfrm>
          <a:prstGeom prst="roundRect">
            <a:avLst>
              <a:gd name="adj" fmla="val 789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77DA348-4E89-4DE8-BD46-CE18263426E1}" type="TxLink">
              <a:rPr lang="en-US" sz="15000" b="1" i="0" u="none" strike="noStrike">
                <a:solidFill>
                  <a:schemeClr val="accent6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295</a:t>
            </a:fld>
            <a:endParaRPr lang="en-US" sz="15000" b="1" i="0" u="none" strike="noStrike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56" name="Gráfico 55">
            <a:extLst>
              <a:ext uri="{FF2B5EF4-FFF2-40B4-BE49-F238E27FC236}">
                <a16:creationId xmlns:a16="http://schemas.microsoft.com/office/drawing/2014/main" id="{A189471F-6DDE-49C2-9B4D-B7F2B70E417C}"/>
              </a:ext>
            </a:extLst>
          </xdr:cNvPr>
          <xdr:cNvGraphicFramePr>
            <a:graphicFrameLocks/>
          </xdr:cNvGraphicFramePr>
        </xdr:nvGraphicFramePr>
        <xdr:xfrm>
          <a:off x="16747741" y="5160295"/>
          <a:ext cx="4601732" cy="27832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7" name="Auto Renewal 1">
                <a:extLst>
                  <a:ext uri="{FF2B5EF4-FFF2-40B4-BE49-F238E27FC236}">
                    <a16:creationId xmlns:a16="http://schemas.microsoft.com/office/drawing/2014/main" id="{DD564E00-9C7B-4D42-9806-D49B0FC61E27}"/>
                  </a:ext>
                </a:extLst>
              </xdr:cNvPr>
              <xdr:cNvGraphicFramePr/>
            </xdr:nvGraphicFramePr>
            <xdr:xfrm>
              <a:off x="9429350" y="6113873"/>
              <a:ext cx="1848802" cy="926346"/>
            </xdr:xfrm>
            <a:graphic>
              <a:graphicData uri="http://schemas.microsoft.com/office/drawing/2010/slicer">
                <sle:slicer xmlns:sle="http://schemas.microsoft.com/office/drawing/2010/slicer" name="Auto Renewal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347204" y="6905191"/>
                <a:ext cx="1829445" cy="92768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23</xdr:col>
      <xdr:colOff>341463</xdr:colOff>
      <xdr:row>8</xdr:row>
      <xdr:rowOff>77907</xdr:rowOff>
    </xdr:from>
    <xdr:to>
      <xdr:col>31</xdr:col>
      <xdr:colOff>619665</xdr:colOff>
      <xdr:row>19</xdr:row>
      <xdr:rowOff>2896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01767937-FAB5-429D-806D-DDDC52789FA5}"/>
            </a:ext>
          </a:extLst>
        </xdr:cNvPr>
        <xdr:cNvGrpSpPr/>
      </xdr:nvGrpSpPr>
      <xdr:grpSpPr>
        <a:xfrm>
          <a:off x="15527548" y="2270454"/>
          <a:ext cx="5741598" cy="2081593"/>
          <a:chOff x="9439275" y="2533650"/>
          <a:chExt cx="6619280" cy="2184203"/>
        </a:xfrm>
      </xdr:grpSpPr>
      <xdr:sp macro="" textlink="">
        <xdr:nvSpPr>
          <xdr:cNvPr id="64" name="Retângulo: Cantos Arredondados 63">
            <a:extLst>
              <a:ext uri="{FF2B5EF4-FFF2-40B4-BE49-F238E27FC236}">
                <a16:creationId xmlns:a16="http://schemas.microsoft.com/office/drawing/2014/main" id="{D8E4DCF6-E00E-4CC9-8025-C297DE747C39}"/>
              </a:ext>
            </a:extLst>
          </xdr:cNvPr>
          <xdr:cNvSpPr/>
        </xdr:nvSpPr>
        <xdr:spPr>
          <a:xfrm>
            <a:off x="9439275" y="2586289"/>
            <a:ext cx="6619280" cy="2131564"/>
          </a:xfrm>
          <a:prstGeom prst="roundRect">
            <a:avLst>
              <a:gd name="adj" fmla="val 789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5" name="Retângulo: Cantos Superiores Arredondados 64">
            <a:extLst>
              <a:ext uri="{FF2B5EF4-FFF2-40B4-BE49-F238E27FC236}">
                <a16:creationId xmlns:a16="http://schemas.microsoft.com/office/drawing/2014/main" id="{66BE13EC-FBE9-46F3-950E-5471FCC61D22}"/>
              </a:ext>
            </a:extLst>
          </xdr:cNvPr>
          <xdr:cNvSpPr/>
        </xdr:nvSpPr>
        <xdr:spPr>
          <a:xfrm>
            <a:off x="9439275" y="2533650"/>
            <a:ext cx="6604398" cy="465092"/>
          </a:xfrm>
          <a:prstGeom prst="round2Same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Ticket Médio</a:t>
            </a:r>
            <a:r>
              <a:rPr lang="pt-BR" sz="2400" b="1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por Assinante</a:t>
            </a:r>
            <a:endParaRPr lang="pt-BR" sz="24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C93">
        <xdr:nvSpPr>
          <xdr:cNvPr id="66" name="Retângulo: Cantos Arredondados 65">
            <a:extLst>
              <a:ext uri="{FF2B5EF4-FFF2-40B4-BE49-F238E27FC236}">
                <a16:creationId xmlns:a16="http://schemas.microsoft.com/office/drawing/2014/main" id="{C9BE1D27-4938-4B73-BBB3-ABFC8D0601F0}"/>
              </a:ext>
            </a:extLst>
          </xdr:cNvPr>
          <xdr:cNvSpPr/>
        </xdr:nvSpPr>
        <xdr:spPr>
          <a:xfrm>
            <a:off x="10477034" y="3256014"/>
            <a:ext cx="4339168" cy="1244079"/>
          </a:xfrm>
          <a:prstGeom prst="roundRect">
            <a:avLst>
              <a:gd name="adj" fmla="val 789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3278EB9-9D88-4A2B-A2C3-A1EEC894359F}" type="TxLink">
              <a:rPr lang="en-US" sz="3800" b="1" i="0" u="none" strike="noStrike">
                <a:solidFill>
                  <a:schemeClr val="accent6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R$ 7,633 </a:t>
            </a:fld>
            <a:endParaRPr lang="en-US" sz="3800" b="1" i="0" u="none" strike="noStrike">
              <a:solidFill>
                <a:schemeClr val="accent6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" refreshedDate="45679.175294560184" createdVersion="7" refreshedVersion="7" minRefreshableVersion="3" recordCount="295" xr:uid="{6AF75032-2230-4B51-9E21-B2275999F6A6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7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16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Meses" numFmtId="0" databaseField="0">
      <fieldGroup base="3">
        <rangePr groupBy="months" startDate="2024-01-01T00:00:00" endDate="2024-12-17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7/2024"/>
        </groupItems>
      </fieldGroup>
    </cacheField>
    <cacheField name="ticket_médio" numFmtId="0" formula="'Total Value'/ COUNTA('Subscriber ID')" databaseField="0"/>
  </cacheFields>
  <extLst>
    <ext xmlns:x14="http://schemas.microsoft.com/office/spreadsheetml/2009/9/main" uri="{725AE2AE-9491-48be-B2B4-4EB974FC3084}">
      <x14:pivotCacheDefinition pivotCacheId="13927442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x v="0"/>
    <x v="0"/>
    <n v="15"/>
    <x v="0"/>
    <x v="0"/>
    <n v="30"/>
    <x v="0"/>
    <n v="20"/>
    <x v="0"/>
    <x v="0"/>
  </r>
  <r>
    <x v="1"/>
    <s v="Maria Oliveira"/>
    <x v="1"/>
    <x v="1"/>
    <x v="1"/>
    <n v="5"/>
    <x v="1"/>
    <x v="1"/>
    <s v="-"/>
    <x v="1"/>
    <n v="0"/>
    <x v="1"/>
    <x v="1"/>
  </r>
  <r>
    <x v="2"/>
    <s v="Lucas Fernandes"/>
    <x v="2"/>
    <x v="2"/>
    <x v="0"/>
    <n v="10"/>
    <x v="2"/>
    <x v="1"/>
    <s v="-"/>
    <x v="0"/>
    <n v="20"/>
    <x v="2"/>
    <x v="2"/>
  </r>
  <r>
    <x v="3"/>
    <s v="Ana Souza"/>
    <x v="0"/>
    <x v="3"/>
    <x v="1"/>
    <n v="15"/>
    <x v="0"/>
    <x v="0"/>
    <n v="30"/>
    <x v="0"/>
    <n v="20"/>
    <x v="3"/>
    <x v="3"/>
  </r>
  <r>
    <x v="4"/>
    <s v="Pedro Gonçalves"/>
    <x v="1"/>
    <x v="4"/>
    <x v="0"/>
    <n v="5"/>
    <x v="0"/>
    <x v="1"/>
    <s v="-"/>
    <x v="1"/>
    <n v="0"/>
    <x v="4"/>
    <x v="4"/>
  </r>
  <r>
    <x v="5"/>
    <s v="Felipe Costa"/>
    <x v="2"/>
    <x v="5"/>
    <x v="1"/>
    <n v="10"/>
    <x v="0"/>
    <x v="1"/>
    <s v="-"/>
    <x v="0"/>
    <n v="20"/>
    <x v="5"/>
    <x v="5"/>
  </r>
  <r>
    <x v="6"/>
    <s v="Camila Ribeiro"/>
    <x v="0"/>
    <x v="6"/>
    <x v="0"/>
    <n v="15"/>
    <x v="2"/>
    <x v="0"/>
    <n v="30"/>
    <x v="0"/>
    <n v="20"/>
    <x v="2"/>
    <x v="6"/>
  </r>
  <r>
    <x v="7"/>
    <s v="André Mendes"/>
    <x v="1"/>
    <x v="7"/>
    <x v="0"/>
    <n v="5"/>
    <x v="1"/>
    <x v="1"/>
    <s v="-"/>
    <x v="1"/>
    <n v="0"/>
    <x v="1"/>
    <x v="1"/>
  </r>
  <r>
    <x v="8"/>
    <s v="Sofia Almeida"/>
    <x v="0"/>
    <x v="4"/>
    <x v="1"/>
    <n v="15"/>
    <x v="0"/>
    <x v="0"/>
    <n v="30"/>
    <x v="0"/>
    <n v="20"/>
    <x v="0"/>
    <x v="0"/>
  </r>
  <r>
    <x v="9"/>
    <s v="Bruno Martins"/>
    <x v="2"/>
    <x v="8"/>
    <x v="0"/>
    <n v="10"/>
    <x v="2"/>
    <x v="1"/>
    <s v="-"/>
    <x v="0"/>
    <n v="20"/>
    <x v="6"/>
    <x v="7"/>
  </r>
  <r>
    <x v="10"/>
    <s v="Rita Castro"/>
    <x v="1"/>
    <x v="9"/>
    <x v="1"/>
    <n v="5"/>
    <x v="0"/>
    <x v="1"/>
    <s v="-"/>
    <x v="1"/>
    <n v="0"/>
    <x v="4"/>
    <x v="4"/>
  </r>
  <r>
    <x v="11"/>
    <s v="Marco Túlio"/>
    <x v="0"/>
    <x v="10"/>
    <x v="0"/>
    <n v="15"/>
    <x v="1"/>
    <x v="0"/>
    <n v="30"/>
    <x v="0"/>
    <n v="20"/>
    <x v="7"/>
    <x v="8"/>
  </r>
  <r>
    <x v="12"/>
    <s v="Lívia Silveira"/>
    <x v="2"/>
    <x v="11"/>
    <x v="1"/>
    <n v="10"/>
    <x v="0"/>
    <x v="1"/>
    <s v="-"/>
    <x v="0"/>
    <n v="20"/>
    <x v="2"/>
    <x v="2"/>
  </r>
  <r>
    <x v="13"/>
    <s v="Diogo Sousa"/>
    <x v="1"/>
    <x v="12"/>
    <x v="0"/>
    <n v="5"/>
    <x v="2"/>
    <x v="1"/>
    <s v="-"/>
    <x v="1"/>
    <n v="0"/>
    <x v="1"/>
    <x v="1"/>
  </r>
  <r>
    <x v="14"/>
    <s v="Fernanda Lima"/>
    <x v="0"/>
    <x v="13"/>
    <x v="1"/>
    <n v="15"/>
    <x v="0"/>
    <x v="0"/>
    <n v="30"/>
    <x v="0"/>
    <n v="20"/>
    <x v="8"/>
    <x v="9"/>
  </r>
  <r>
    <x v="15"/>
    <s v="Caio Pereira"/>
    <x v="2"/>
    <x v="14"/>
    <x v="0"/>
    <n v="10"/>
    <x v="1"/>
    <x v="1"/>
    <s v="-"/>
    <x v="0"/>
    <n v="20"/>
    <x v="9"/>
    <x v="10"/>
  </r>
  <r>
    <x v="16"/>
    <s v="Beatriz Gomes"/>
    <x v="1"/>
    <x v="15"/>
    <x v="1"/>
    <n v="5"/>
    <x v="0"/>
    <x v="1"/>
    <s v="-"/>
    <x v="1"/>
    <n v="0"/>
    <x v="5"/>
    <x v="11"/>
  </r>
  <r>
    <x v="17"/>
    <s v="Cesar Oliveira"/>
    <x v="0"/>
    <x v="16"/>
    <x v="0"/>
    <n v="15"/>
    <x v="2"/>
    <x v="0"/>
    <n v="30"/>
    <x v="0"/>
    <n v="20"/>
    <x v="10"/>
    <x v="12"/>
  </r>
  <r>
    <x v="18"/>
    <s v="Débora Machado"/>
    <x v="2"/>
    <x v="17"/>
    <x v="1"/>
    <n v="10"/>
    <x v="0"/>
    <x v="1"/>
    <s v="-"/>
    <x v="0"/>
    <n v="20"/>
    <x v="0"/>
    <x v="13"/>
  </r>
  <r>
    <x v="19"/>
    <s v="Eduardo Vargas"/>
    <x v="1"/>
    <x v="18"/>
    <x v="0"/>
    <n v="5"/>
    <x v="1"/>
    <x v="1"/>
    <s v="-"/>
    <x v="1"/>
    <n v="0"/>
    <x v="1"/>
    <x v="1"/>
  </r>
  <r>
    <x v="20"/>
    <s v="Gabriela Santos"/>
    <x v="0"/>
    <x v="19"/>
    <x v="1"/>
    <n v="15"/>
    <x v="0"/>
    <x v="0"/>
    <n v="30"/>
    <x v="0"/>
    <n v="20"/>
    <x v="3"/>
    <x v="3"/>
  </r>
  <r>
    <x v="21"/>
    <s v="Henrique Dias"/>
    <x v="2"/>
    <x v="20"/>
    <x v="0"/>
    <n v="10"/>
    <x v="2"/>
    <x v="1"/>
    <s v="-"/>
    <x v="0"/>
    <n v="20"/>
    <x v="6"/>
    <x v="7"/>
  </r>
  <r>
    <x v="22"/>
    <s v="Isabela Moreira"/>
    <x v="1"/>
    <x v="21"/>
    <x v="1"/>
    <n v="5"/>
    <x v="0"/>
    <x v="1"/>
    <s v="-"/>
    <x v="1"/>
    <n v="0"/>
    <x v="4"/>
    <x v="4"/>
  </r>
  <r>
    <x v="23"/>
    <s v="Joaquim Barbosa"/>
    <x v="0"/>
    <x v="22"/>
    <x v="0"/>
    <n v="15"/>
    <x v="1"/>
    <x v="0"/>
    <n v="30"/>
    <x v="0"/>
    <n v="20"/>
    <x v="7"/>
    <x v="8"/>
  </r>
  <r>
    <x v="24"/>
    <s v="Lara Rocha"/>
    <x v="2"/>
    <x v="23"/>
    <x v="1"/>
    <n v="10"/>
    <x v="0"/>
    <x v="1"/>
    <s v="-"/>
    <x v="0"/>
    <n v="20"/>
    <x v="2"/>
    <x v="2"/>
  </r>
  <r>
    <x v="25"/>
    <s v="Matheus Silva"/>
    <x v="1"/>
    <x v="24"/>
    <x v="0"/>
    <n v="5"/>
    <x v="2"/>
    <x v="1"/>
    <s v="-"/>
    <x v="1"/>
    <n v="0"/>
    <x v="1"/>
    <x v="1"/>
  </r>
  <r>
    <x v="26"/>
    <s v="Nicole Costa"/>
    <x v="0"/>
    <x v="25"/>
    <x v="1"/>
    <n v="15"/>
    <x v="0"/>
    <x v="0"/>
    <n v="30"/>
    <x v="0"/>
    <n v="20"/>
    <x v="0"/>
    <x v="0"/>
  </r>
  <r>
    <x v="27"/>
    <s v="Otávio Mendonça"/>
    <x v="2"/>
    <x v="26"/>
    <x v="0"/>
    <n v="10"/>
    <x v="1"/>
    <x v="1"/>
    <s v="-"/>
    <x v="0"/>
    <n v="20"/>
    <x v="6"/>
    <x v="7"/>
  </r>
  <r>
    <x v="28"/>
    <s v="Paula Ferreira"/>
    <x v="1"/>
    <x v="27"/>
    <x v="1"/>
    <n v="5"/>
    <x v="0"/>
    <x v="1"/>
    <s v="-"/>
    <x v="1"/>
    <n v="0"/>
    <x v="4"/>
    <x v="4"/>
  </r>
  <r>
    <x v="29"/>
    <s v="Raquel Alves"/>
    <x v="0"/>
    <x v="28"/>
    <x v="0"/>
    <n v="15"/>
    <x v="2"/>
    <x v="0"/>
    <n v="30"/>
    <x v="0"/>
    <n v="20"/>
    <x v="10"/>
    <x v="12"/>
  </r>
  <r>
    <x v="30"/>
    <s v="Samuel Pires"/>
    <x v="2"/>
    <x v="29"/>
    <x v="1"/>
    <n v="10"/>
    <x v="0"/>
    <x v="1"/>
    <s v="-"/>
    <x v="0"/>
    <n v="20"/>
    <x v="2"/>
    <x v="2"/>
  </r>
  <r>
    <x v="31"/>
    <s v="Tânia Barros"/>
    <x v="1"/>
    <x v="30"/>
    <x v="0"/>
    <n v="5"/>
    <x v="1"/>
    <x v="1"/>
    <s v="-"/>
    <x v="1"/>
    <n v="0"/>
    <x v="1"/>
    <x v="1"/>
  </r>
  <r>
    <x v="32"/>
    <s v="Vinicius Lima"/>
    <x v="0"/>
    <x v="31"/>
    <x v="1"/>
    <n v="15"/>
    <x v="0"/>
    <x v="0"/>
    <n v="30"/>
    <x v="0"/>
    <n v="20"/>
    <x v="3"/>
    <x v="3"/>
  </r>
  <r>
    <x v="33"/>
    <s v="Yasmin Teixeira"/>
    <x v="2"/>
    <x v="32"/>
    <x v="0"/>
    <n v="10"/>
    <x v="2"/>
    <x v="1"/>
    <s v="-"/>
    <x v="0"/>
    <n v="20"/>
    <x v="6"/>
    <x v="7"/>
  </r>
  <r>
    <x v="34"/>
    <s v="Zé Carlos"/>
    <x v="1"/>
    <x v="33"/>
    <x v="1"/>
    <n v="5"/>
    <x v="0"/>
    <x v="1"/>
    <s v="-"/>
    <x v="1"/>
    <n v="0"/>
    <x v="4"/>
    <x v="4"/>
  </r>
  <r>
    <x v="35"/>
    <s v="Amanda Nogueira"/>
    <x v="1"/>
    <x v="34"/>
    <x v="0"/>
    <n v="5"/>
    <x v="0"/>
    <x v="1"/>
    <s v="-"/>
    <x v="1"/>
    <n v="0"/>
    <x v="1"/>
    <x v="1"/>
  </r>
  <r>
    <x v="36"/>
    <s v="Bruno Cavalheiro"/>
    <x v="0"/>
    <x v="35"/>
    <x v="1"/>
    <n v="15"/>
    <x v="2"/>
    <x v="0"/>
    <n v="30"/>
    <x v="0"/>
    <n v="20"/>
    <x v="10"/>
    <x v="12"/>
  </r>
  <r>
    <x v="37"/>
    <s v="Carla Dias"/>
    <x v="2"/>
    <x v="36"/>
    <x v="0"/>
    <n v="10"/>
    <x v="1"/>
    <x v="1"/>
    <s v="-"/>
    <x v="0"/>
    <n v="20"/>
    <x v="2"/>
    <x v="2"/>
  </r>
  <r>
    <x v="38"/>
    <s v="Diego Fontes"/>
    <x v="1"/>
    <x v="37"/>
    <x v="1"/>
    <n v="5"/>
    <x v="2"/>
    <x v="1"/>
    <s v="-"/>
    <x v="1"/>
    <n v="0"/>
    <x v="4"/>
    <x v="4"/>
  </r>
  <r>
    <x v="39"/>
    <s v="Eunice Lima"/>
    <x v="0"/>
    <x v="38"/>
    <x v="0"/>
    <n v="15"/>
    <x v="0"/>
    <x v="0"/>
    <n v="30"/>
    <x v="0"/>
    <n v="20"/>
    <x v="6"/>
    <x v="14"/>
  </r>
  <r>
    <x v="40"/>
    <s v="Fábio Martins"/>
    <x v="2"/>
    <x v="39"/>
    <x v="1"/>
    <n v="10"/>
    <x v="0"/>
    <x v="1"/>
    <s v="-"/>
    <x v="0"/>
    <n v="20"/>
    <x v="0"/>
    <x v="13"/>
  </r>
  <r>
    <x v="41"/>
    <s v="Gisele Araújo"/>
    <x v="1"/>
    <x v="40"/>
    <x v="0"/>
    <n v="5"/>
    <x v="1"/>
    <x v="1"/>
    <s v="-"/>
    <x v="1"/>
    <n v="0"/>
    <x v="1"/>
    <x v="1"/>
  </r>
  <r>
    <x v="42"/>
    <s v="Hélio Castro"/>
    <x v="0"/>
    <x v="41"/>
    <x v="1"/>
    <n v="15"/>
    <x v="2"/>
    <x v="0"/>
    <n v="30"/>
    <x v="0"/>
    <n v="20"/>
    <x v="7"/>
    <x v="8"/>
  </r>
  <r>
    <x v="43"/>
    <s v="Ingrid Menezes"/>
    <x v="2"/>
    <x v="42"/>
    <x v="0"/>
    <n v="10"/>
    <x v="2"/>
    <x v="1"/>
    <s v="-"/>
    <x v="0"/>
    <n v="20"/>
    <x v="9"/>
    <x v="10"/>
  </r>
  <r>
    <x v="44"/>
    <s v="Jorge Baptista"/>
    <x v="1"/>
    <x v="43"/>
    <x v="1"/>
    <n v="5"/>
    <x v="0"/>
    <x v="1"/>
    <s v="-"/>
    <x v="1"/>
    <n v="0"/>
    <x v="5"/>
    <x v="11"/>
  </r>
  <r>
    <x v="45"/>
    <s v="Kléber Oliveira"/>
    <x v="0"/>
    <x v="44"/>
    <x v="0"/>
    <n v="15"/>
    <x v="1"/>
    <x v="0"/>
    <n v="30"/>
    <x v="0"/>
    <n v="20"/>
    <x v="0"/>
    <x v="0"/>
  </r>
  <r>
    <x v="46"/>
    <s v="Luciana Freitas"/>
    <x v="2"/>
    <x v="45"/>
    <x v="1"/>
    <n v="10"/>
    <x v="0"/>
    <x v="1"/>
    <s v="-"/>
    <x v="0"/>
    <n v="20"/>
    <x v="2"/>
    <x v="2"/>
  </r>
  <r>
    <x v="47"/>
    <s v="Márcia Eller"/>
    <x v="1"/>
    <x v="46"/>
    <x v="0"/>
    <n v="5"/>
    <x v="2"/>
    <x v="1"/>
    <s v="-"/>
    <x v="1"/>
    <n v="0"/>
    <x v="1"/>
    <x v="1"/>
  </r>
  <r>
    <x v="48"/>
    <s v="Nilo Peçanha"/>
    <x v="0"/>
    <x v="47"/>
    <x v="1"/>
    <n v="15"/>
    <x v="0"/>
    <x v="0"/>
    <n v="30"/>
    <x v="0"/>
    <n v="20"/>
    <x v="3"/>
    <x v="3"/>
  </r>
  <r>
    <x v="49"/>
    <s v="Oscar Neves"/>
    <x v="2"/>
    <x v="48"/>
    <x v="0"/>
    <n v="10"/>
    <x v="1"/>
    <x v="1"/>
    <s v="-"/>
    <x v="0"/>
    <n v="20"/>
    <x v="6"/>
    <x v="7"/>
  </r>
  <r>
    <x v="50"/>
    <s v="Patrícia Soares"/>
    <x v="1"/>
    <x v="49"/>
    <x v="1"/>
    <n v="5"/>
    <x v="0"/>
    <x v="1"/>
    <s v="-"/>
    <x v="1"/>
    <n v="0"/>
    <x v="4"/>
    <x v="4"/>
  </r>
  <r>
    <x v="51"/>
    <s v="Quirino Gonçalves"/>
    <x v="0"/>
    <x v="50"/>
    <x v="0"/>
    <n v="15"/>
    <x v="2"/>
    <x v="0"/>
    <n v="30"/>
    <x v="0"/>
    <n v="20"/>
    <x v="10"/>
    <x v="12"/>
  </r>
  <r>
    <x v="52"/>
    <s v="Raul Machado"/>
    <x v="2"/>
    <x v="51"/>
    <x v="1"/>
    <n v="10"/>
    <x v="0"/>
    <x v="1"/>
    <s v="-"/>
    <x v="0"/>
    <n v="20"/>
    <x v="2"/>
    <x v="2"/>
  </r>
  <r>
    <x v="53"/>
    <s v="Sônia Lobo"/>
    <x v="1"/>
    <x v="52"/>
    <x v="0"/>
    <n v="5"/>
    <x v="1"/>
    <x v="1"/>
    <s v="-"/>
    <x v="1"/>
    <n v="0"/>
    <x v="1"/>
    <x v="1"/>
  </r>
  <r>
    <x v="54"/>
    <s v="Tiago Ramos"/>
    <x v="0"/>
    <x v="53"/>
    <x v="1"/>
    <n v="15"/>
    <x v="0"/>
    <x v="0"/>
    <n v="30"/>
    <x v="0"/>
    <n v="20"/>
    <x v="7"/>
    <x v="8"/>
  </r>
  <r>
    <x v="55"/>
    <s v="Ugo Pires"/>
    <x v="2"/>
    <x v="54"/>
    <x v="0"/>
    <n v="10"/>
    <x v="2"/>
    <x v="1"/>
    <s v="-"/>
    <x v="0"/>
    <n v="20"/>
    <x v="6"/>
    <x v="7"/>
  </r>
  <r>
    <x v="56"/>
    <s v="Valéria Nobre"/>
    <x v="1"/>
    <x v="55"/>
    <x v="1"/>
    <n v="5"/>
    <x v="0"/>
    <x v="1"/>
    <s v="-"/>
    <x v="1"/>
    <n v="0"/>
    <x v="4"/>
    <x v="4"/>
  </r>
  <r>
    <x v="57"/>
    <s v="William Siqueira"/>
    <x v="0"/>
    <x v="56"/>
    <x v="0"/>
    <n v="15"/>
    <x v="1"/>
    <x v="0"/>
    <n v="30"/>
    <x v="0"/>
    <n v="20"/>
    <x v="3"/>
    <x v="3"/>
  </r>
  <r>
    <x v="58"/>
    <s v="Xuxa Meneghel"/>
    <x v="2"/>
    <x v="57"/>
    <x v="1"/>
    <n v="10"/>
    <x v="0"/>
    <x v="1"/>
    <s v="-"/>
    <x v="0"/>
    <n v="20"/>
    <x v="2"/>
    <x v="2"/>
  </r>
  <r>
    <x v="59"/>
    <s v="Yara Figueiredo"/>
    <x v="1"/>
    <x v="58"/>
    <x v="0"/>
    <n v="5"/>
    <x v="2"/>
    <x v="1"/>
    <s v="-"/>
    <x v="1"/>
    <n v="0"/>
    <x v="1"/>
    <x v="1"/>
  </r>
  <r>
    <x v="60"/>
    <s v="Zacarias Alves"/>
    <x v="0"/>
    <x v="59"/>
    <x v="1"/>
    <n v="15"/>
    <x v="0"/>
    <x v="0"/>
    <n v="30"/>
    <x v="0"/>
    <n v="20"/>
    <x v="0"/>
    <x v="0"/>
  </r>
  <r>
    <x v="61"/>
    <s v="Amanda Bynes"/>
    <x v="2"/>
    <x v="60"/>
    <x v="0"/>
    <n v="10"/>
    <x v="1"/>
    <x v="1"/>
    <s v="-"/>
    <x v="0"/>
    <n v="20"/>
    <x v="6"/>
    <x v="7"/>
  </r>
  <r>
    <x v="62"/>
    <s v="Bruno Mars"/>
    <x v="1"/>
    <x v="61"/>
    <x v="1"/>
    <n v="5"/>
    <x v="0"/>
    <x v="1"/>
    <s v="-"/>
    <x v="1"/>
    <n v="0"/>
    <x v="4"/>
    <x v="4"/>
  </r>
  <r>
    <x v="63"/>
    <s v="Carla Bruni"/>
    <x v="0"/>
    <x v="62"/>
    <x v="0"/>
    <n v="15"/>
    <x v="2"/>
    <x v="0"/>
    <n v="30"/>
    <x v="0"/>
    <n v="20"/>
    <x v="7"/>
    <x v="8"/>
  </r>
  <r>
    <x v="64"/>
    <s v="Diego Maradona"/>
    <x v="2"/>
    <x v="63"/>
    <x v="1"/>
    <n v="10"/>
    <x v="0"/>
    <x v="1"/>
    <s v="-"/>
    <x v="0"/>
    <n v="20"/>
    <x v="0"/>
    <x v="13"/>
  </r>
  <r>
    <x v="65"/>
    <s v="Estela Marques"/>
    <x v="1"/>
    <x v="64"/>
    <x v="1"/>
    <n v="5"/>
    <x v="0"/>
    <x v="1"/>
    <s v="-"/>
    <x v="1"/>
    <n v="0"/>
    <x v="1"/>
    <x v="1"/>
  </r>
  <r>
    <x v="66"/>
    <s v="Fábio Nobre"/>
    <x v="0"/>
    <x v="65"/>
    <x v="0"/>
    <n v="15"/>
    <x v="2"/>
    <x v="0"/>
    <n v="30"/>
    <x v="0"/>
    <n v="20"/>
    <x v="10"/>
    <x v="12"/>
  </r>
  <r>
    <x v="67"/>
    <s v="Gabriel Oliveira"/>
    <x v="2"/>
    <x v="66"/>
    <x v="1"/>
    <n v="10"/>
    <x v="1"/>
    <x v="1"/>
    <s v="-"/>
    <x v="0"/>
    <n v="20"/>
    <x v="2"/>
    <x v="2"/>
  </r>
  <r>
    <x v="68"/>
    <s v="Helena Santos"/>
    <x v="1"/>
    <x v="67"/>
    <x v="0"/>
    <n v="5"/>
    <x v="2"/>
    <x v="1"/>
    <s v="-"/>
    <x v="1"/>
    <n v="0"/>
    <x v="4"/>
    <x v="4"/>
  </r>
  <r>
    <x v="69"/>
    <s v="Ivan Carvalho"/>
    <x v="0"/>
    <x v="68"/>
    <x v="1"/>
    <n v="15"/>
    <x v="0"/>
    <x v="0"/>
    <n v="30"/>
    <x v="0"/>
    <n v="20"/>
    <x v="6"/>
    <x v="14"/>
  </r>
  <r>
    <x v="70"/>
    <s v="Júlia Ferreira"/>
    <x v="2"/>
    <x v="69"/>
    <x v="0"/>
    <n v="10"/>
    <x v="0"/>
    <x v="1"/>
    <s v="-"/>
    <x v="0"/>
    <n v="20"/>
    <x v="0"/>
    <x v="13"/>
  </r>
  <r>
    <x v="71"/>
    <s v="Karla Alves"/>
    <x v="1"/>
    <x v="70"/>
    <x v="1"/>
    <n v="5"/>
    <x v="1"/>
    <x v="1"/>
    <s v="-"/>
    <x v="1"/>
    <n v="0"/>
    <x v="1"/>
    <x v="1"/>
  </r>
  <r>
    <x v="72"/>
    <s v="Lucas Mendes"/>
    <x v="0"/>
    <x v="71"/>
    <x v="0"/>
    <n v="15"/>
    <x v="2"/>
    <x v="0"/>
    <n v="30"/>
    <x v="0"/>
    <n v="20"/>
    <x v="7"/>
    <x v="8"/>
  </r>
  <r>
    <x v="73"/>
    <s v="Mônica Gomes"/>
    <x v="2"/>
    <x v="72"/>
    <x v="1"/>
    <n v="10"/>
    <x v="2"/>
    <x v="1"/>
    <s v="-"/>
    <x v="0"/>
    <n v="20"/>
    <x v="9"/>
    <x v="10"/>
  </r>
  <r>
    <x v="74"/>
    <s v="Norberto Queiroz"/>
    <x v="1"/>
    <x v="73"/>
    <x v="0"/>
    <n v="5"/>
    <x v="0"/>
    <x v="1"/>
    <s v="-"/>
    <x v="1"/>
    <n v="0"/>
    <x v="5"/>
    <x v="11"/>
  </r>
  <r>
    <x v="75"/>
    <s v="Otávio Barros"/>
    <x v="0"/>
    <x v="74"/>
    <x v="1"/>
    <n v="15"/>
    <x v="1"/>
    <x v="0"/>
    <n v="30"/>
    <x v="0"/>
    <n v="20"/>
    <x v="0"/>
    <x v="0"/>
  </r>
  <r>
    <x v="76"/>
    <s v="Paula Vieira"/>
    <x v="2"/>
    <x v="75"/>
    <x v="0"/>
    <n v="10"/>
    <x v="0"/>
    <x v="1"/>
    <s v="-"/>
    <x v="0"/>
    <n v="20"/>
    <x v="2"/>
    <x v="2"/>
  </r>
  <r>
    <x v="77"/>
    <s v="Quentin Ramos"/>
    <x v="1"/>
    <x v="76"/>
    <x v="1"/>
    <n v="5"/>
    <x v="2"/>
    <x v="1"/>
    <s v="-"/>
    <x v="1"/>
    <n v="0"/>
    <x v="1"/>
    <x v="1"/>
  </r>
  <r>
    <x v="78"/>
    <s v="Raquel Novaes"/>
    <x v="0"/>
    <x v="77"/>
    <x v="0"/>
    <n v="15"/>
    <x v="0"/>
    <x v="0"/>
    <n v="30"/>
    <x v="0"/>
    <n v="20"/>
    <x v="3"/>
    <x v="3"/>
  </r>
  <r>
    <x v="79"/>
    <s v="Samantha Lopes"/>
    <x v="2"/>
    <x v="78"/>
    <x v="1"/>
    <n v="10"/>
    <x v="1"/>
    <x v="1"/>
    <s v="-"/>
    <x v="0"/>
    <n v="20"/>
    <x v="6"/>
    <x v="7"/>
  </r>
  <r>
    <x v="80"/>
    <s v="Tiago Martins"/>
    <x v="1"/>
    <x v="79"/>
    <x v="0"/>
    <n v="5"/>
    <x v="0"/>
    <x v="1"/>
    <s v="-"/>
    <x v="1"/>
    <n v="0"/>
    <x v="4"/>
    <x v="4"/>
  </r>
  <r>
    <x v="81"/>
    <s v="Ulysses Guimarães"/>
    <x v="0"/>
    <x v="80"/>
    <x v="1"/>
    <n v="15"/>
    <x v="2"/>
    <x v="0"/>
    <n v="30"/>
    <x v="0"/>
    <n v="20"/>
    <x v="10"/>
    <x v="12"/>
  </r>
  <r>
    <x v="82"/>
    <s v="Vanessa Silva"/>
    <x v="2"/>
    <x v="81"/>
    <x v="0"/>
    <n v="10"/>
    <x v="0"/>
    <x v="1"/>
    <s v="-"/>
    <x v="0"/>
    <n v="20"/>
    <x v="2"/>
    <x v="2"/>
  </r>
  <r>
    <x v="83"/>
    <s v="William Carneiro"/>
    <x v="1"/>
    <x v="82"/>
    <x v="1"/>
    <n v="5"/>
    <x v="1"/>
    <x v="1"/>
    <s v="-"/>
    <x v="1"/>
    <n v="0"/>
    <x v="1"/>
    <x v="1"/>
  </r>
  <r>
    <x v="84"/>
    <s v="Ximena Rocha"/>
    <x v="0"/>
    <x v="83"/>
    <x v="0"/>
    <n v="15"/>
    <x v="0"/>
    <x v="0"/>
    <n v="30"/>
    <x v="0"/>
    <n v="20"/>
    <x v="7"/>
    <x v="8"/>
  </r>
  <r>
    <x v="85"/>
    <s v="Yasmin Figueiredo"/>
    <x v="2"/>
    <x v="84"/>
    <x v="1"/>
    <n v="10"/>
    <x v="2"/>
    <x v="1"/>
    <s v="-"/>
    <x v="0"/>
    <n v="20"/>
    <x v="6"/>
    <x v="7"/>
  </r>
  <r>
    <x v="86"/>
    <s v="Zara Cunha"/>
    <x v="1"/>
    <x v="85"/>
    <x v="0"/>
    <n v="5"/>
    <x v="0"/>
    <x v="1"/>
    <s v="-"/>
    <x v="1"/>
    <n v="0"/>
    <x v="4"/>
    <x v="4"/>
  </r>
  <r>
    <x v="87"/>
    <s v="Alan Teixeira"/>
    <x v="0"/>
    <x v="86"/>
    <x v="1"/>
    <n v="15"/>
    <x v="1"/>
    <x v="0"/>
    <n v="30"/>
    <x v="0"/>
    <n v="20"/>
    <x v="3"/>
    <x v="3"/>
  </r>
  <r>
    <x v="88"/>
    <s v="Bárbara Oliveira"/>
    <x v="2"/>
    <x v="87"/>
    <x v="0"/>
    <n v="10"/>
    <x v="0"/>
    <x v="1"/>
    <s v="-"/>
    <x v="0"/>
    <n v="20"/>
    <x v="2"/>
    <x v="2"/>
  </r>
  <r>
    <x v="89"/>
    <s v="Carlos Junqueira"/>
    <x v="1"/>
    <x v="88"/>
    <x v="1"/>
    <n v="5"/>
    <x v="2"/>
    <x v="1"/>
    <s v="-"/>
    <x v="1"/>
    <n v="0"/>
    <x v="1"/>
    <x v="1"/>
  </r>
  <r>
    <x v="90"/>
    <s v="Daniela Moura"/>
    <x v="0"/>
    <x v="89"/>
    <x v="0"/>
    <n v="15"/>
    <x v="0"/>
    <x v="0"/>
    <n v="30"/>
    <x v="0"/>
    <n v="20"/>
    <x v="0"/>
    <x v="0"/>
  </r>
  <r>
    <x v="91"/>
    <s v="Eduardo Lima"/>
    <x v="2"/>
    <x v="90"/>
    <x v="1"/>
    <n v="10"/>
    <x v="1"/>
    <x v="1"/>
    <s v="-"/>
    <x v="0"/>
    <n v="20"/>
    <x v="6"/>
    <x v="7"/>
  </r>
  <r>
    <x v="92"/>
    <s v="Fabiana Araújo"/>
    <x v="1"/>
    <x v="91"/>
    <x v="0"/>
    <n v="5"/>
    <x v="0"/>
    <x v="1"/>
    <s v="-"/>
    <x v="1"/>
    <n v="0"/>
    <x v="4"/>
    <x v="4"/>
  </r>
  <r>
    <x v="93"/>
    <s v="Geraldo Ribeiro"/>
    <x v="0"/>
    <x v="92"/>
    <x v="1"/>
    <n v="15"/>
    <x v="2"/>
    <x v="0"/>
    <n v="30"/>
    <x v="0"/>
    <n v="20"/>
    <x v="7"/>
    <x v="8"/>
  </r>
  <r>
    <x v="94"/>
    <s v="Héctor Vargas"/>
    <x v="2"/>
    <x v="93"/>
    <x v="0"/>
    <n v="10"/>
    <x v="2"/>
    <x v="1"/>
    <s v="-"/>
    <x v="0"/>
    <n v="20"/>
    <x v="6"/>
    <x v="7"/>
  </r>
  <r>
    <x v="95"/>
    <s v="Isabela Fonseca"/>
    <x v="1"/>
    <x v="94"/>
    <x v="1"/>
    <n v="5"/>
    <x v="1"/>
    <x v="1"/>
    <s v="-"/>
    <x v="1"/>
    <n v="0"/>
    <x v="1"/>
    <x v="1"/>
  </r>
  <r>
    <x v="96"/>
    <s v="João Pedro Almeida"/>
    <x v="0"/>
    <x v="95"/>
    <x v="0"/>
    <n v="15"/>
    <x v="0"/>
    <x v="0"/>
    <n v="30"/>
    <x v="0"/>
    <n v="20"/>
    <x v="10"/>
    <x v="12"/>
  </r>
  <r>
    <x v="97"/>
    <s v="Klara Costa"/>
    <x v="2"/>
    <x v="96"/>
    <x v="1"/>
    <n v="10"/>
    <x v="1"/>
    <x v="1"/>
    <s v="-"/>
    <x v="0"/>
    <n v="20"/>
    <x v="2"/>
    <x v="2"/>
  </r>
  <r>
    <x v="98"/>
    <s v="Luciana Mendes"/>
    <x v="1"/>
    <x v="97"/>
    <x v="0"/>
    <n v="5"/>
    <x v="2"/>
    <x v="1"/>
    <s v="-"/>
    <x v="1"/>
    <n v="0"/>
    <x v="4"/>
    <x v="4"/>
  </r>
  <r>
    <x v="99"/>
    <s v="Marcelo Gouveia"/>
    <x v="0"/>
    <x v="98"/>
    <x v="1"/>
    <n v="15"/>
    <x v="0"/>
    <x v="0"/>
    <n v="30"/>
    <x v="0"/>
    <n v="20"/>
    <x v="6"/>
    <x v="14"/>
  </r>
  <r>
    <x v="100"/>
    <s v="Nívea Borges"/>
    <x v="2"/>
    <x v="99"/>
    <x v="0"/>
    <n v="10"/>
    <x v="0"/>
    <x v="1"/>
    <s v="-"/>
    <x v="0"/>
    <n v="20"/>
    <x v="0"/>
    <x v="13"/>
  </r>
  <r>
    <x v="101"/>
    <s v="Oscar Nogueira"/>
    <x v="1"/>
    <x v="100"/>
    <x v="1"/>
    <n v="5"/>
    <x v="1"/>
    <x v="1"/>
    <s v="-"/>
    <x v="1"/>
    <n v="0"/>
    <x v="1"/>
    <x v="1"/>
  </r>
  <r>
    <x v="102"/>
    <s v="Patrícia Alves"/>
    <x v="0"/>
    <x v="101"/>
    <x v="0"/>
    <n v="15"/>
    <x v="2"/>
    <x v="0"/>
    <n v="30"/>
    <x v="0"/>
    <n v="20"/>
    <x v="7"/>
    <x v="8"/>
  </r>
  <r>
    <x v="103"/>
    <s v="Rafaela Silva"/>
    <x v="2"/>
    <x v="102"/>
    <x v="1"/>
    <n v="10"/>
    <x v="2"/>
    <x v="1"/>
    <s v="-"/>
    <x v="0"/>
    <n v="20"/>
    <x v="9"/>
    <x v="10"/>
  </r>
  <r>
    <x v="104"/>
    <s v="Samantha Moraes"/>
    <x v="1"/>
    <x v="103"/>
    <x v="0"/>
    <n v="5"/>
    <x v="0"/>
    <x v="1"/>
    <s v="-"/>
    <x v="1"/>
    <n v="0"/>
    <x v="5"/>
    <x v="11"/>
  </r>
  <r>
    <x v="105"/>
    <s v="Tatiana Rocha"/>
    <x v="1"/>
    <x v="104"/>
    <x v="0"/>
    <n v="5"/>
    <x v="0"/>
    <x v="1"/>
    <s v="-"/>
    <x v="1"/>
    <n v="0"/>
    <x v="1"/>
    <x v="1"/>
  </r>
  <r>
    <x v="106"/>
    <s v="Ulisses Tavares"/>
    <x v="0"/>
    <x v="105"/>
    <x v="1"/>
    <n v="15"/>
    <x v="2"/>
    <x v="0"/>
    <n v="30"/>
    <x v="0"/>
    <n v="20"/>
    <x v="10"/>
    <x v="12"/>
  </r>
  <r>
    <x v="107"/>
    <s v="Víctor Lemos"/>
    <x v="2"/>
    <x v="106"/>
    <x v="0"/>
    <n v="10"/>
    <x v="1"/>
    <x v="1"/>
    <s v="-"/>
    <x v="0"/>
    <n v="20"/>
    <x v="2"/>
    <x v="2"/>
  </r>
  <r>
    <x v="108"/>
    <s v="Wilma Barros"/>
    <x v="1"/>
    <x v="107"/>
    <x v="1"/>
    <n v="5"/>
    <x v="2"/>
    <x v="1"/>
    <s v="-"/>
    <x v="1"/>
    <n v="0"/>
    <x v="4"/>
    <x v="4"/>
  </r>
  <r>
    <x v="109"/>
    <s v="Xavier Nascimento"/>
    <x v="0"/>
    <x v="108"/>
    <x v="0"/>
    <n v="15"/>
    <x v="0"/>
    <x v="0"/>
    <n v="30"/>
    <x v="0"/>
    <n v="20"/>
    <x v="6"/>
    <x v="14"/>
  </r>
  <r>
    <x v="110"/>
    <s v="Yago Pereira"/>
    <x v="2"/>
    <x v="109"/>
    <x v="1"/>
    <n v="10"/>
    <x v="0"/>
    <x v="1"/>
    <s v="-"/>
    <x v="0"/>
    <n v="20"/>
    <x v="0"/>
    <x v="13"/>
  </r>
  <r>
    <x v="111"/>
    <s v="Zilda Ferreira"/>
    <x v="1"/>
    <x v="110"/>
    <x v="0"/>
    <n v="5"/>
    <x v="1"/>
    <x v="1"/>
    <s v="-"/>
    <x v="1"/>
    <n v="0"/>
    <x v="1"/>
    <x v="1"/>
  </r>
  <r>
    <x v="112"/>
    <s v="Amanda Lopes"/>
    <x v="0"/>
    <x v="111"/>
    <x v="1"/>
    <n v="15"/>
    <x v="2"/>
    <x v="0"/>
    <n v="30"/>
    <x v="0"/>
    <n v="20"/>
    <x v="7"/>
    <x v="8"/>
  </r>
  <r>
    <x v="113"/>
    <s v="Bruno Miranda"/>
    <x v="2"/>
    <x v="112"/>
    <x v="0"/>
    <n v="10"/>
    <x v="2"/>
    <x v="1"/>
    <s v="-"/>
    <x v="0"/>
    <n v="20"/>
    <x v="9"/>
    <x v="10"/>
  </r>
  <r>
    <x v="114"/>
    <s v="Célia Torres"/>
    <x v="1"/>
    <x v="113"/>
    <x v="1"/>
    <n v="5"/>
    <x v="0"/>
    <x v="1"/>
    <s v="-"/>
    <x v="1"/>
    <n v="0"/>
    <x v="5"/>
    <x v="11"/>
  </r>
  <r>
    <x v="115"/>
    <s v="Diogo Souza"/>
    <x v="0"/>
    <x v="114"/>
    <x v="0"/>
    <n v="15"/>
    <x v="1"/>
    <x v="0"/>
    <n v="30"/>
    <x v="0"/>
    <n v="20"/>
    <x v="0"/>
    <x v="0"/>
  </r>
  <r>
    <x v="116"/>
    <s v="Elisa Castro"/>
    <x v="2"/>
    <x v="115"/>
    <x v="1"/>
    <n v="10"/>
    <x v="0"/>
    <x v="1"/>
    <s v="-"/>
    <x v="0"/>
    <n v="20"/>
    <x v="2"/>
    <x v="2"/>
  </r>
  <r>
    <x v="117"/>
    <s v="Fátima Lima"/>
    <x v="1"/>
    <x v="116"/>
    <x v="0"/>
    <n v="5"/>
    <x v="2"/>
    <x v="1"/>
    <s v="-"/>
    <x v="1"/>
    <n v="0"/>
    <x v="1"/>
    <x v="1"/>
  </r>
  <r>
    <x v="118"/>
    <s v="Geraldo Ribeiro"/>
    <x v="0"/>
    <x v="117"/>
    <x v="1"/>
    <n v="15"/>
    <x v="0"/>
    <x v="0"/>
    <n v="30"/>
    <x v="0"/>
    <n v="20"/>
    <x v="3"/>
    <x v="3"/>
  </r>
  <r>
    <x v="119"/>
    <s v="Hélio Martins"/>
    <x v="2"/>
    <x v="118"/>
    <x v="0"/>
    <n v="10"/>
    <x v="1"/>
    <x v="1"/>
    <s v="-"/>
    <x v="0"/>
    <n v="20"/>
    <x v="6"/>
    <x v="7"/>
  </r>
  <r>
    <x v="120"/>
    <s v="Íris Santos"/>
    <x v="1"/>
    <x v="119"/>
    <x v="1"/>
    <n v="5"/>
    <x v="0"/>
    <x v="1"/>
    <s v="-"/>
    <x v="1"/>
    <n v="0"/>
    <x v="4"/>
    <x v="4"/>
  </r>
  <r>
    <x v="121"/>
    <s v="João Marcelo"/>
    <x v="0"/>
    <x v="120"/>
    <x v="0"/>
    <n v="15"/>
    <x v="2"/>
    <x v="0"/>
    <n v="30"/>
    <x v="0"/>
    <n v="20"/>
    <x v="10"/>
    <x v="12"/>
  </r>
  <r>
    <x v="122"/>
    <s v="Larissa Gomes"/>
    <x v="2"/>
    <x v="121"/>
    <x v="1"/>
    <n v="10"/>
    <x v="0"/>
    <x v="1"/>
    <s v="-"/>
    <x v="0"/>
    <n v="20"/>
    <x v="2"/>
    <x v="2"/>
  </r>
  <r>
    <x v="123"/>
    <s v="Márcio Silva"/>
    <x v="1"/>
    <x v="122"/>
    <x v="0"/>
    <n v="5"/>
    <x v="1"/>
    <x v="1"/>
    <s v="-"/>
    <x v="1"/>
    <n v="0"/>
    <x v="1"/>
    <x v="1"/>
  </r>
  <r>
    <x v="124"/>
    <s v="Nadia Costa"/>
    <x v="0"/>
    <x v="123"/>
    <x v="1"/>
    <n v="15"/>
    <x v="0"/>
    <x v="0"/>
    <n v="30"/>
    <x v="0"/>
    <n v="20"/>
    <x v="7"/>
    <x v="8"/>
  </r>
  <r>
    <x v="125"/>
    <s v="Oscar Almeida"/>
    <x v="2"/>
    <x v="124"/>
    <x v="0"/>
    <n v="10"/>
    <x v="2"/>
    <x v="1"/>
    <s v="-"/>
    <x v="0"/>
    <n v="20"/>
    <x v="6"/>
    <x v="7"/>
  </r>
  <r>
    <x v="126"/>
    <s v="Patricia Soares"/>
    <x v="1"/>
    <x v="125"/>
    <x v="1"/>
    <n v="5"/>
    <x v="0"/>
    <x v="1"/>
    <s v="-"/>
    <x v="1"/>
    <n v="0"/>
    <x v="4"/>
    <x v="4"/>
  </r>
  <r>
    <x v="127"/>
    <s v="Quênia Barros"/>
    <x v="0"/>
    <x v="126"/>
    <x v="0"/>
    <n v="15"/>
    <x v="1"/>
    <x v="0"/>
    <n v="30"/>
    <x v="0"/>
    <n v="20"/>
    <x v="3"/>
    <x v="3"/>
  </r>
  <r>
    <x v="128"/>
    <s v="Rafael Torres"/>
    <x v="2"/>
    <x v="127"/>
    <x v="1"/>
    <n v="10"/>
    <x v="0"/>
    <x v="1"/>
    <s v="-"/>
    <x v="0"/>
    <n v="20"/>
    <x v="2"/>
    <x v="2"/>
  </r>
  <r>
    <x v="129"/>
    <s v="Silvia Nascimento"/>
    <x v="1"/>
    <x v="128"/>
    <x v="0"/>
    <n v="5"/>
    <x v="2"/>
    <x v="1"/>
    <s v="-"/>
    <x v="1"/>
    <n v="0"/>
    <x v="1"/>
    <x v="1"/>
  </r>
  <r>
    <x v="130"/>
    <s v="Tiago Mendes"/>
    <x v="0"/>
    <x v="129"/>
    <x v="1"/>
    <n v="15"/>
    <x v="0"/>
    <x v="0"/>
    <n v="30"/>
    <x v="0"/>
    <n v="20"/>
    <x v="6"/>
    <x v="14"/>
  </r>
  <r>
    <x v="131"/>
    <s v="Ursula Silva"/>
    <x v="2"/>
    <x v="130"/>
    <x v="0"/>
    <n v="10"/>
    <x v="1"/>
    <x v="1"/>
    <s v="-"/>
    <x v="0"/>
    <n v="20"/>
    <x v="6"/>
    <x v="7"/>
  </r>
  <r>
    <x v="132"/>
    <s v="Vanessa Moraes"/>
    <x v="1"/>
    <x v="131"/>
    <x v="1"/>
    <n v="5"/>
    <x v="0"/>
    <x v="1"/>
    <s v="-"/>
    <x v="1"/>
    <n v="0"/>
    <x v="4"/>
    <x v="4"/>
  </r>
  <r>
    <x v="133"/>
    <s v="Waldir Junior"/>
    <x v="0"/>
    <x v="132"/>
    <x v="0"/>
    <n v="15"/>
    <x v="2"/>
    <x v="0"/>
    <n v="30"/>
    <x v="0"/>
    <n v="20"/>
    <x v="10"/>
    <x v="12"/>
  </r>
  <r>
    <x v="134"/>
    <s v="Xavier Lopes"/>
    <x v="2"/>
    <x v="133"/>
    <x v="1"/>
    <n v="10"/>
    <x v="0"/>
    <x v="1"/>
    <s v="-"/>
    <x v="0"/>
    <n v="20"/>
    <x v="2"/>
    <x v="2"/>
  </r>
  <r>
    <x v="135"/>
    <s v="Yolanda Freitas"/>
    <x v="1"/>
    <x v="134"/>
    <x v="0"/>
    <n v="5"/>
    <x v="0"/>
    <x v="1"/>
    <s v="-"/>
    <x v="1"/>
    <n v="0"/>
    <x v="1"/>
    <x v="1"/>
  </r>
  <r>
    <x v="136"/>
    <s v="Zacarias Nunes"/>
    <x v="0"/>
    <x v="135"/>
    <x v="1"/>
    <n v="15"/>
    <x v="2"/>
    <x v="0"/>
    <n v="30"/>
    <x v="0"/>
    <n v="20"/>
    <x v="10"/>
    <x v="12"/>
  </r>
  <r>
    <x v="137"/>
    <s v="Ana Clara Barreto"/>
    <x v="2"/>
    <x v="136"/>
    <x v="0"/>
    <n v="10"/>
    <x v="1"/>
    <x v="1"/>
    <s v="-"/>
    <x v="0"/>
    <n v="20"/>
    <x v="2"/>
    <x v="2"/>
  </r>
  <r>
    <x v="138"/>
    <s v="Bruno Henrique"/>
    <x v="1"/>
    <x v="137"/>
    <x v="1"/>
    <n v="5"/>
    <x v="2"/>
    <x v="1"/>
    <s v="-"/>
    <x v="1"/>
    <n v="0"/>
    <x v="4"/>
    <x v="4"/>
  </r>
  <r>
    <x v="139"/>
    <s v="Carlos Eduardo"/>
    <x v="0"/>
    <x v="138"/>
    <x v="0"/>
    <n v="15"/>
    <x v="0"/>
    <x v="0"/>
    <n v="30"/>
    <x v="0"/>
    <n v="20"/>
    <x v="6"/>
    <x v="14"/>
  </r>
  <r>
    <x v="140"/>
    <s v="Débora Lima"/>
    <x v="2"/>
    <x v="139"/>
    <x v="1"/>
    <n v="10"/>
    <x v="0"/>
    <x v="1"/>
    <s v="-"/>
    <x v="0"/>
    <n v="20"/>
    <x v="0"/>
    <x v="13"/>
  </r>
  <r>
    <x v="141"/>
    <s v="Elisa Neves"/>
    <x v="1"/>
    <x v="140"/>
    <x v="0"/>
    <n v="5"/>
    <x v="1"/>
    <x v="1"/>
    <s v="-"/>
    <x v="1"/>
    <n v="0"/>
    <x v="1"/>
    <x v="1"/>
  </r>
  <r>
    <x v="142"/>
    <s v="Fabiano Gomes"/>
    <x v="0"/>
    <x v="141"/>
    <x v="1"/>
    <n v="15"/>
    <x v="2"/>
    <x v="0"/>
    <n v="30"/>
    <x v="0"/>
    <n v="20"/>
    <x v="7"/>
    <x v="8"/>
  </r>
  <r>
    <x v="143"/>
    <s v="Gisele Oliveira"/>
    <x v="2"/>
    <x v="142"/>
    <x v="0"/>
    <n v="10"/>
    <x v="2"/>
    <x v="1"/>
    <s v="-"/>
    <x v="0"/>
    <n v="20"/>
    <x v="9"/>
    <x v="10"/>
  </r>
  <r>
    <x v="144"/>
    <s v="Héctor Silva"/>
    <x v="1"/>
    <x v="143"/>
    <x v="1"/>
    <n v="5"/>
    <x v="0"/>
    <x v="1"/>
    <s v="-"/>
    <x v="1"/>
    <n v="0"/>
    <x v="5"/>
    <x v="11"/>
  </r>
  <r>
    <x v="145"/>
    <s v="Igor Martins"/>
    <x v="0"/>
    <x v="144"/>
    <x v="0"/>
    <n v="15"/>
    <x v="1"/>
    <x v="0"/>
    <n v="30"/>
    <x v="0"/>
    <n v="20"/>
    <x v="0"/>
    <x v="0"/>
  </r>
  <r>
    <x v="146"/>
    <s v="Joana Figueiredo"/>
    <x v="2"/>
    <x v="145"/>
    <x v="1"/>
    <n v="10"/>
    <x v="0"/>
    <x v="1"/>
    <s v="-"/>
    <x v="0"/>
    <n v="20"/>
    <x v="2"/>
    <x v="2"/>
  </r>
  <r>
    <x v="147"/>
    <s v="Kleber Machado"/>
    <x v="1"/>
    <x v="146"/>
    <x v="0"/>
    <n v="5"/>
    <x v="2"/>
    <x v="1"/>
    <s v="-"/>
    <x v="1"/>
    <n v="0"/>
    <x v="1"/>
    <x v="1"/>
  </r>
  <r>
    <x v="148"/>
    <s v="Luciana Santos"/>
    <x v="0"/>
    <x v="147"/>
    <x v="1"/>
    <n v="15"/>
    <x v="0"/>
    <x v="0"/>
    <n v="30"/>
    <x v="0"/>
    <n v="20"/>
    <x v="3"/>
    <x v="3"/>
  </r>
  <r>
    <x v="149"/>
    <s v="Marcos Teixeira"/>
    <x v="2"/>
    <x v="148"/>
    <x v="0"/>
    <n v="10"/>
    <x v="1"/>
    <x v="1"/>
    <s v="-"/>
    <x v="0"/>
    <n v="20"/>
    <x v="6"/>
    <x v="7"/>
  </r>
  <r>
    <x v="150"/>
    <s v="Natalia Costa"/>
    <x v="1"/>
    <x v="149"/>
    <x v="1"/>
    <n v="5"/>
    <x v="0"/>
    <x v="1"/>
    <s v="-"/>
    <x v="1"/>
    <n v="0"/>
    <x v="4"/>
    <x v="4"/>
  </r>
  <r>
    <x v="151"/>
    <s v="Oscar Ribeiro"/>
    <x v="0"/>
    <x v="150"/>
    <x v="0"/>
    <n v="15"/>
    <x v="2"/>
    <x v="0"/>
    <n v="30"/>
    <x v="0"/>
    <n v="20"/>
    <x v="10"/>
    <x v="12"/>
  </r>
  <r>
    <x v="152"/>
    <s v="Patricia Almeida"/>
    <x v="2"/>
    <x v="151"/>
    <x v="1"/>
    <n v="10"/>
    <x v="0"/>
    <x v="1"/>
    <s v="-"/>
    <x v="0"/>
    <n v="20"/>
    <x v="2"/>
    <x v="2"/>
  </r>
  <r>
    <x v="153"/>
    <s v="Quirino Junior"/>
    <x v="1"/>
    <x v="152"/>
    <x v="0"/>
    <n v="5"/>
    <x v="1"/>
    <x v="1"/>
    <s v="-"/>
    <x v="1"/>
    <n v="0"/>
    <x v="1"/>
    <x v="1"/>
  </r>
  <r>
    <x v="154"/>
    <s v="Renata Machado"/>
    <x v="0"/>
    <x v="153"/>
    <x v="1"/>
    <n v="15"/>
    <x v="0"/>
    <x v="0"/>
    <n v="30"/>
    <x v="0"/>
    <n v="20"/>
    <x v="7"/>
    <x v="8"/>
  </r>
  <r>
    <x v="155"/>
    <s v="Sônia Alves"/>
    <x v="2"/>
    <x v="154"/>
    <x v="0"/>
    <n v="10"/>
    <x v="2"/>
    <x v="1"/>
    <s v="-"/>
    <x v="0"/>
    <n v="20"/>
    <x v="6"/>
    <x v="7"/>
  </r>
  <r>
    <x v="156"/>
    <s v="Tiago Nunes"/>
    <x v="1"/>
    <x v="155"/>
    <x v="1"/>
    <n v="5"/>
    <x v="0"/>
    <x v="1"/>
    <s v="-"/>
    <x v="1"/>
    <n v="0"/>
    <x v="4"/>
    <x v="4"/>
  </r>
  <r>
    <x v="157"/>
    <s v="Ulysses Pereira"/>
    <x v="0"/>
    <x v="156"/>
    <x v="0"/>
    <n v="15"/>
    <x v="1"/>
    <x v="0"/>
    <n v="30"/>
    <x v="0"/>
    <n v="20"/>
    <x v="3"/>
    <x v="3"/>
  </r>
  <r>
    <x v="158"/>
    <s v="Vanessa Lima"/>
    <x v="2"/>
    <x v="157"/>
    <x v="1"/>
    <n v="10"/>
    <x v="0"/>
    <x v="1"/>
    <s v="-"/>
    <x v="0"/>
    <n v="20"/>
    <x v="2"/>
    <x v="2"/>
  </r>
  <r>
    <x v="159"/>
    <s v="Wagner Santos"/>
    <x v="1"/>
    <x v="158"/>
    <x v="0"/>
    <n v="5"/>
    <x v="2"/>
    <x v="1"/>
    <s v="-"/>
    <x v="1"/>
    <n v="0"/>
    <x v="1"/>
    <x v="1"/>
  </r>
  <r>
    <x v="160"/>
    <s v="Xuxa Meneghel"/>
    <x v="0"/>
    <x v="159"/>
    <x v="1"/>
    <n v="15"/>
    <x v="0"/>
    <x v="0"/>
    <n v="30"/>
    <x v="0"/>
    <n v="20"/>
    <x v="6"/>
    <x v="14"/>
  </r>
  <r>
    <x v="161"/>
    <s v="Yasmin Silva"/>
    <x v="2"/>
    <x v="160"/>
    <x v="0"/>
    <n v="10"/>
    <x v="1"/>
    <x v="1"/>
    <s v="-"/>
    <x v="0"/>
    <n v="20"/>
    <x v="6"/>
    <x v="7"/>
  </r>
  <r>
    <x v="162"/>
    <s v="Zacarias de Souza"/>
    <x v="1"/>
    <x v="161"/>
    <x v="1"/>
    <n v="5"/>
    <x v="0"/>
    <x v="1"/>
    <s v="-"/>
    <x v="1"/>
    <n v="0"/>
    <x v="4"/>
    <x v="4"/>
  </r>
  <r>
    <x v="163"/>
    <s v="André Lima"/>
    <x v="0"/>
    <x v="162"/>
    <x v="0"/>
    <n v="15"/>
    <x v="2"/>
    <x v="0"/>
    <n v="30"/>
    <x v="0"/>
    <n v="20"/>
    <x v="10"/>
    <x v="12"/>
  </r>
  <r>
    <x v="164"/>
    <s v="Bianca Freitas"/>
    <x v="2"/>
    <x v="163"/>
    <x v="1"/>
    <n v="10"/>
    <x v="0"/>
    <x v="1"/>
    <s v="-"/>
    <x v="0"/>
    <n v="20"/>
    <x v="2"/>
    <x v="2"/>
  </r>
  <r>
    <x v="165"/>
    <s v="Caio Mendes"/>
    <x v="1"/>
    <x v="164"/>
    <x v="0"/>
    <n v="5"/>
    <x v="1"/>
    <x v="1"/>
    <s v="-"/>
    <x v="1"/>
    <n v="0"/>
    <x v="1"/>
    <x v="1"/>
  </r>
  <r>
    <x v="166"/>
    <s v="Daniela Moura"/>
    <x v="0"/>
    <x v="165"/>
    <x v="1"/>
    <n v="15"/>
    <x v="0"/>
    <x v="0"/>
    <n v="30"/>
    <x v="0"/>
    <n v="20"/>
    <x v="7"/>
    <x v="8"/>
  </r>
  <r>
    <x v="167"/>
    <s v="Eduardo Costa"/>
    <x v="2"/>
    <x v="166"/>
    <x v="0"/>
    <n v="10"/>
    <x v="2"/>
    <x v="1"/>
    <s v="-"/>
    <x v="0"/>
    <n v="20"/>
    <x v="6"/>
    <x v="7"/>
  </r>
  <r>
    <x v="168"/>
    <s v="Fernanda Gomes"/>
    <x v="1"/>
    <x v="167"/>
    <x v="1"/>
    <n v="5"/>
    <x v="0"/>
    <x v="1"/>
    <s v="-"/>
    <x v="1"/>
    <n v="0"/>
    <x v="4"/>
    <x v="4"/>
  </r>
  <r>
    <x v="169"/>
    <s v="Guilherme Souza"/>
    <x v="0"/>
    <x v="168"/>
    <x v="0"/>
    <n v="15"/>
    <x v="1"/>
    <x v="0"/>
    <n v="30"/>
    <x v="0"/>
    <n v="20"/>
    <x v="0"/>
    <x v="0"/>
  </r>
  <r>
    <x v="170"/>
    <s v="Helena Ribeiro"/>
    <x v="2"/>
    <x v="169"/>
    <x v="1"/>
    <n v="10"/>
    <x v="0"/>
    <x v="1"/>
    <s v="-"/>
    <x v="0"/>
    <n v="20"/>
    <x v="2"/>
    <x v="2"/>
  </r>
  <r>
    <x v="171"/>
    <s v="Igor Santos"/>
    <x v="1"/>
    <x v="170"/>
    <x v="0"/>
    <n v="5"/>
    <x v="2"/>
    <x v="1"/>
    <s v="-"/>
    <x v="1"/>
    <n v="0"/>
    <x v="1"/>
    <x v="1"/>
  </r>
  <r>
    <x v="172"/>
    <s v="João Carvalho"/>
    <x v="0"/>
    <x v="171"/>
    <x v="1"/>
    <n v="15"/>
    <x v="0"/>
    <x v="0"/>
    <n v="30"/>
    <x v="0"/>
    <n v="20"/>
    <x v="3"/>
    <x v="3"/>
  </r>
  <r>
    <x v="173"/>
    <s v="Klara Fagundes"/>
    <x v="2"/>
    <x v="172"/>
    <x v="0"/>
    <n v="10"/>
    <x v="1"/>
    <x v="1"/>
    <s v="-"/>
    <x v="0"/>
    <n v="20"/>
    <x v="6"/>
    <x v="7"/>
  </r>
  <r>
    <x v="174"/>
    <s v="Lúcia Mendonça"/>
    <x v="1"/>
    <x v="173"/>
    <x v="1"/>
    <n v="5"/>
    <x v="0"/>
    <x v="1"/>
    <s v="-"/>
    <x v="1"/>
    <n v="0"/>
    <x v="4"/>
    <x v="4"/>
  </r>
  <r>
    <x v="175"/>
    <s v="Marcelo Novaes"/>
    <x v="1"/>
    <x v="174"/>
    <x v="0"/>
    <n v="5"/>
    <x v="0"/>
    <x v="1"/>
    <s v="-"/>
    <x v="1"/>
    <n v="0"/>
    <x v="1"/>
    <x v="1"/>
  </r>
  <r>
    <x v="176"/>
    <s v="Nina Pacheco"/>
    <x v="0"/>
    <x v="175"/>
    <x v="1"/>
    <n v="15"/>
    <x v="2"/>
    <x v="0"/>
    <n v="30"/>
    <x v="0"/>
    <n v="20"/>
    <x v="10"/>
    <x v="12"/>
  </r>
  <r>
    <x v="177"/>
    <s v="Olívia Rios"/>
    <x v="2"/>
    <x v="176"/>
    <x v="0"/>
    <n v="10"/>
    <x v="1"/>
    <x v="1"/>
    <s v="-"/>
    <x v="0"/>
    <n v="20"/>
    <x v="2"/>
    <x v="2"/>
  </r>
  <r>
    <x v="178"/>
    <s v="Paulo Quintana"/>
    <x v="1"/>
    <x v="177"/>
    <x v="1"/>
    <n v="5"/>
    <x v="2"/>
    <x v="1"/>
    <s v="-"/>
    <x v="1"/>
    <n v="0"/>
    <x v="4"/>
    <x v="4"/>
  </r>
  <r>
    <x v="179"/>
    <s v="Raquel Domingos"/>
    <x v="0"/>
    <x v="178"/>
    <x v="0"/>
    <n v="15"/>
    <x v="0"/>
    <x v="0"/>
    <n v="30"/>
    <x v="0"/>
    <n v="20"/>
    <x v="6"/>
    <x v="14"/>
  </r>
  <r>
    <x v="180"/>
    <s v="Samuel Viana"/>
    <x v="2"/>
    <x v="179"/>
    <x v="1"/>
    <n v="10"/>
    <x v="0"/>
    <x v="1"/>
    <s v="-"/>
    <x v="0"/>
    <n v="20"/>
    <x v="0"/>
    <x v="13"/>
  </r>
  <r>
    <x v="181"/>
    <s v="Tatiane Rocha"/>
    <x v="1"/>
    <x v="180"/>
    <x v="0"/>
    <n v="5"/>
    <x v="1"/>
    <x v="1"/>
    <s v="-"/>
    <x v="1"/>
    <n v="0"/>
    <x v="1"/>
    <x v="1"/>
  </r>
  <r>
    <x v="182"/>
    <s v="Ulysses Farias"/>
    <x v="0"/>
    <x v="181"/>
    <x v="1"/>
    <n v="15"/>
    <x v="2"/>
    <x v="0"/>
    <n v="30"/>
    <x v="0"/>
    <n v="20"/>
    <x v="7"/>
    <x v="8"/>
  </r>
  <r>
    <x v="183"/>
    <s v="Vanessa Moreira"/>
    <x v="2"/>
    <x v="182"/>
    <x v="0"/>
    <n v="10"/>
    <x v="2"/>
    <x v="1"/>
    <s v="-"/>
    <x v="0"/>
    <n v="20"/>
    <x v="9"/>
    <x v="10"/>
  </r>
  <r>
    <x v="184"/>
    <s v="William Carvalho"/>
    <x v="1"/>
    <x v="183"/>
    <x v="1"/>
    <n v="5"/>
    <x v="0"/>
    <x v="1"/>
    <s v="-"/>
    <x v="1"/>
    <n v="0"/>
    <x v="5"/>
    <x v="11"/>
  </r>
  <r>
    <x v="185"/>
    <s v="Ximena Barros"/>
    <x v="0"/>
    <x v="184"/>
    <x v="0"/>
    <n v="15"/>
    <x v="1"/>
    <x v="0"/>
    <n v="30"/>
    <x v="0"/>
    <n v="20"/>
    <x v="0"/>
    <x v="0"/>
  </r>
  <r>
    <x v="186"/>
    <s v="Yara Machado"/>
    <x v="2"/>
    <x v="185"/>
    <x v="1"/>
    <n v="10"/>
    <x v="0"/>
    <x v="1"/>
    <s v="-"/>
    <x v="0"/>
    <n v="20"/>
    <x v="2"/>
    <x v="2"/>
  </r>
  <r>
    <x v="187"/>
    <s v="Zacarias Costa"/>
    <x v="1"/>
    <x v="186"/>
    <x v="0"/>
    <n v="5"/>
    <x v="2"/>
    <x v="1"/>
    <s v="-"/>
    <x v="1"/>
    <n v="0"/>
    <x v="1"/>
    <x v="1"/>
  </r>
  <r>
    <x v="188"/>
    <s v="André Lopes"/>
    <x v="0"/>
    <x v="187"/>
    <x v="1"/>
    <n v="15"/>
    <x v="0"/>
    <x v="0"/>
    <n v="30"/>
    <x v="0"/>
    <n v="20"/>
    <x v="3"/>
    <x v="3"/>
  </r>
  <r>
    <x v="189"/>
    <s v="Beatriz Souza"/>
    <x v="2"/>
    <x v="188"/>
    <x v="0"/>
    <n v="10"/>
    <x v="1"/>
    <x v="1"/>
    <s v="-"/>
    <x v="0"/>
    <n v="20"/>
    <x v="6"/>
    <x v="7"/>
  </r>
  <r>
    <x v="190"/>
    <s v="Caio Pereira"/>
    <x v="1"/>
    <x v="189"/>
    <x v="1"/>
    <n v="5"/>
    <x v="0"/>
    <x v="1"/>
    <s v="-"/>
    <x v="1"/>
    <n v="0"/>
    <x v="4"/>
    <x v="4"/>
  </r>
  <r>
    <x v="191"/>
    <s v="Daniela Araújo"/>
    <x v="0"/>
    <x v="190"/>
    <x v="0"/>
    <n v="15"/>
    <x v="2"/>
    <x v="0"/>
    <n v="30"/>
    <x v="0"/>
    <n v="20"/>
    <x v="10"/>
    <x v="12"/>
  </r>
  <r>
    <x v="192"/>
    <s v="Eduardo Santos"/>
    <x v="2"/>
    <x v="191"/>
    <x v="1"/>
    <n v="10"/>
    <x v="0"/>
    <x v="1"/>
    <s v="-"/>
    <x v="0"/>
    <n v="20"/>
    <x v="2"/>
    <x v="2"/>
  </r>
  <r>
    <x v="193"/>
    <s v="Fernanda Lima"/>
    <x v="1"/>
    <x v="192"/>
    <x v="0"/>
    <n v="5"/>
    <x v="1"/>
    <x v="1"/>
    <s v="-"/>
    <x v="1"/>
    <n v="0"/>
    <x v="1"/>
    <x v="1"/>
  </r>
  <r>
    <x v="194"/>
    <s v="Gabriel Teixeira"/>
    <x v="0"/>
    <x v="193"/>
    <x v="1"/>
    <n v="15"/>
    <x v="0"/>
    <x v="0"/>
    <n v="30"/>
    <x v="0"/>
    <n v="20"/>
    <x v="7"/>
    <x v="8"/>
  </r>
  <r>
    <x v="195"/>
    <s v="Helena Ribeiro"/>
    <x v="2"/>
    <x v="194"/>
    <x v="0"/>
    <n v="10"/>
    <x v="2"/>
    <x v="1"/>
    <s v="-"/>
    <x v="0"/>
    <n v="20"/>
    <x v="6"/>
    <x v="7"/>
  </r>
  <r>
    <x v="196"/>
    <s v="Igor Mendes"/>
    <x v="1"/>
    <x v="195"/>
    <x v="1"/>
    <n v="5"/>
    <x v="0"/>
    <x v="1"/>
    <s v="-"/>
    <x v="1"/>
    <n v="0"/>
    <x v="4"/>
    <x v="4"/>
  </r>
  <r>
    <x v="197"/>
    <s v="Joana Silveira"/>
    <x v="0"/>
    <x v="196"/>
    <x v="0"/>
    <n v="15"/>
    <x v="1"/>
    <x v="0"/>
    <n v="30"/>
    <x v="0"/>
    <n v="20"/>
    <x v="3"/>
    <x v="3"/>
  </r>
  <r>
    <x v="198"/>
    <s v="Lucas Martins"/>
    <x v="2"/>
    <x v="197"/>
    <x v="1"/>
    <n v="10"/>
    <x v="0"/>
    <x v="1"/>
    <s v="-"/>
    <x v="0"/>
    <n v="20"/>
    <x v="2"/>
    <x v="2"/>
  </r>
  <r>
    <x v="199"/>
    <s v="Marcela Gouveia"/>
    <x v="1"/>
    <x v="198"/>
    <x v="0"/>
    <n v="5"/>
    <x v="2"/>
    <x v="1"/>
    <s v="-"/>
    <x v="1"/>
    <n v="0"/>
    <x v="1"/>
    <x v="1"/>
  </r>
  <r>
    <x v="200"/>
    <s v="Nicolas Borges"/>
    <x v="0"/>
    <x v="199"/>
    <x v="1"/>
    <n v="15"/>
    <x v="0"/>
    <x v="0"/>
    <n v="30"/>
    <x v="0"/>
    <n v="20"/>
    <x v="6"/>
    <x v="14"/>
  </r>
  <r>
    <x v="201"/>
    <s v="Olivia Freitas"/>
    <x v="2"/>
    <x v="200"/>
    <x v="0"/>
    <n v="10"/>
    <x v="1"/>
    <x v="1"/>
    <s v="-"/>
    <x v="0"/>
    <n v="20"/>
    <x v="6"/>
    <x v="7"/>
  </r>
  <r>
    <x v="202"/>
    <s v="Paulo Nogueira"/>
    <x v="1"/>
    <x v="201"/>
    <x v="1"/>
    <n v="5"/>
    <x v="0"/>
    <x v="1"/>
    <s v="-"/>
    <x v="1"/>
    <n v="0"/>
    <x v="4"/>
    <x v="4"/>
  </r>
  <r>
    <x v="203"/>
    <s v="Raquel Andrade"/>
    <x v="0"/>
    <x v="202"/>
    <x v="0"/>
    <n v="15"/>
    <x v="2"/>
    <x v="0"/>
    <n v="30"/>
    <x v="0"/>
    <n v="20"/>
    <x v="10"/>
    <x v="12"/>
  </r>
  <r>
    <x v="204"/>
    <s v="Sônia Carvalho"/>
    <x v="2"/>
    <x v="203"/>
    <x v="1"/>
    <n v="10"/>
    <x v="0"/>
    <x v="1"/>
    <s v="-"/>
    <x v="0"/>
    <n v="20"/>
    <x v="2"/>
    <x v="2"/>
  </r>
  <r>
    <x v="205"/>
    <s v="Tiago Rodrigues"/>
    <x v="1"/>
    <x v="204"/>
    <x v="0"/>
    <n v="5"/>
    <x v="0"/>
    <x v="1"/>
    <s v="-"/>
    <x v="1"/>
    <n v="0"/>
    <x v="1"/>
    <x v="1"/>
  </r>
  <r>
    <x v="206"/>
    <s v="Ursula Monteiro"/>
    <x v="0"/>
    <x v="205"/>
    <x v="1"/>
    <n v="15"/>
    <x v="2"/>
    <x v="0"/>
    <n v="30"/>
    <x v="0"/>
    <n v="20"/>
    <x v="10"/>
    <x v="12"/>
  </r>
  <r>
    <x v="207"/>
    <s v="Vanessa Pereira"/>
    <x v="2"/>
    <x v="206"/>
    <x v="0"/>
    <n v="10"/>
    <x v="1"/>
    <x v="1"/>
    <s v="-"/>
    <x v="0"/>
    <n v="20"/>
    <x v="2"/>
    <x v="2"/>
  </r>
  <r>
    <x v="208"/>
    <s v="Walter Silva"/>
    <x v="1"/>
    <x v="207"/>
    <x v="1"/>
    <n v="5"/>
    <x v="2"/>
    <x v="1"/>
    <s v="-"/>
    <x v="1"/>
    <n v="0"/>
    <x v="4"/>
    <x v="4"/>
  </r>
  <r>
    <x v="209"/>
    <s v="Xavier Almeida"/>
    <x v="0"/>
    <x v="208"/>
    <x v="0"/>
    <n v="15"/>
    <x v="0"/>
    <x v="0"/>
    <n v="30"/>
    <x v="0"/>
    <n v="20"/>
    <x v="6"/>
    <x v="14"/>
  </r>
  <r>
    <x v="210"/>
    <s v="Yasmine Correia"/>
    <x v="2"/>
    <x v="209"/>
    <x v="1"/>
    <n v="10"/>
    <x v="0"/>
    <x v="1"/>
    <s v="-"/>
    <x v="0"/>
    <n v="20"/>
    <x v="0"/>
    <x v="13"/>
  </r>
  <r>
    <x v="211"/>
    <s v="Zacarias Almeida"/>
    <x v="1"/>
    <x v="210"/>
    <x v="0"/>
    <n v="5"/>
    <x v="1"/>
    <x v="1"/>
    <s v="-"/>
    <x v="1"/>
    <n v="0"/>
    <x v="1"/>
    <x v="1"/>
  </r>
  <r>
    <x v="212"/>
    <s v="Amanda Costa"/>
    <x v="0"/>
    <x v="211"/>
    <x v="1"/>
    <n v="15"/>
    <x v="2"/>
    <x v="0"/>
    <n v="30"/>
    <x v="0"/>
    <n v="20"/>
    <x v="7"/>
    <x v="8"/>
  </r>
  <r>
    <x v="213"/>
    <s v="Bruno Ferreira"/>
    <x v="2"/>
    <x v="212"/>
    <x v="0"/>
    <n v="10"/>
    <x v="2"/>
    <x v="1"/>
    <s v="-"/>
    <x v="0"/>
    <n v="20"/>
    <x v="9"/>
    <x v="10"/>
  </r>
  <r>
    <x v="214"/>
    <s v="Carla Dias"/>
    <x v="1"/>
    <x v="213"/>
    <x v="1"/>
    <n v="5"/>
    <x v="0"/>
    <x v="1"/>
    <s v="-"/>
    <x v="1"/>
    <n v="0"/>
    <x v="5"/>
    <x v="11"/>
  </r>
  <r>
    <x v="215"/>
    <s v="Diogo Martins"/>
    <x v="0"/>
    <x v="214"/>
    <x v="0"/>
    <n v="15"/>
    <x v="1"/>
    <x v="0"/>
    <n v="30"/>
    <x v="0"/>
    <n v="20"/>
    <x v="0"/>
    <x v="0"/>
  </r>
  <r>
    <x v="216"/>
    <s v="Elisa Campos"/>
    <x v="2"/>
    <x v="215"/>
    <x v="1"/>
    <n v="10"/>
    <x v="0"/>
    <x v="1"/>
    <s v="-"/>
    <x v="0"/>
    <n v="20"/>
    <x v="2"/>
    <x v="2"/>
  </r>
  <r>
    <x v="217"/>
    <s v="Fabiana Lima"/>
    <x v="1"/>
    <x v="216"/>
    <x v="0"/>
    <n v="5"/>
    <x v="2"/>
    <x v="1"/>
    <s v="-"/>
    <x v="1"/>
    <n v="0"/>
    <x v="1"/>
    <x v="1"/>
  </r>
  <r>
    <x v="218"/>
    <s v="Gabriel Santos"/>
    <x v="0"/>
    <x v="217"/>
    <x v="1"/>
    <n v="15"/>
    <x v="0"/>
    <x v="0"/>
    <n v="30"/>
    <x v="0"/>
    <n v="20"/>
    <x v="3"/>
    <x v="3"/>
  </r>
  <r>
    <x v="219"/>
    <s v="Helena Ferreira"/>
    <x v="2"/>
    <x v="218"/>
    <x v="0"/>
    <n v="10"/>
    <x v="1"/>
    <x v="1"/>
    <s v="-"/>
    <x v="0"/>
    <n v="20"/>
    <x v="6"/>
    <x v="7"/>
  </r>
  <r>
    <x v="220"/>
    <s v="Ígor Nunes"/>
    <x v="1"/>
    <x v="219"/>
    <x v="1"/>
    <n v="5"/>
    <x v="0"/>
    <x v="1"/>
    <s v="-"/>
    <x v="1"/>
    <n v="0"/>
    <x v="4"/>
    <x v="4"/>
  </r>
  <r>
    <x v="221"/>
    <s v="Joana Silveira"/>
    <x v="0"/>
    <x v="220"/>
    <x v="0"/>
    <n v="15"/>
    <x v="2"/>
    <x v="0"/>
    <n v="30"/>
    <x v="0"/>
    <n v="20"/>
    <x v="10"/>
    <x v="12"/>
  </r>
  <r>
    <x v="222"/>
    <s v="Kléber Oliveira"/>
    <x v="2"/>
    <x v="221"/>
    <x v="1"/>
    <n v="10"/>
    <x v="0"/>
    <x v="1"/>
    <s v="-"/>
    <x v="0"/>
    <n v="20"/>
    <x v="2"/>
    <x v="2"/>
  </r>
  <r>
    <x v="223"/>
    <s v="Luciana Morais"/>
    <x v="1"/>
    <x v="222"/>
    <x v="0"/>
    <n v="5"/>
    <x v="1"/>
    <x v="1"/>
    <s v="-"/>
    <x v="1"/>
    <n v="0"/>
    <x v="1"/>
    <x v="1"/>
  </r>
  <r>
    <x v="224"/>
    <s v="Marcos Vinícius"/>
    <x v="0"/>
    <x v="223"/>
    <x v="1"/>
    <n v="15"/>
    <x v="0"/>
    <x v="0"/>
    <n v="30"/>
    <x v="0"/>
    <n v="20"/>
    <x v="7"/>
    <x v="8"/>
  </r>
  <r>
    <x v="225"/>
    <s v="Natália Barros"/>
    <x v="2"/>
    <x v="224"/>
    <x v="0"/>
    <n v="10"/>
    <x v="2"/>
    <x v="1"/>
    <s v="-"/>
    <x v="0"/>
    <n v="20"/>
    <x v="6"/>
    <x v="7"/>
  </r>
  <r>
    <x v="226"/>
    <s v="Oscar Sampaio"/>
    <x v="1"/>
    <x v="225"/>
    <x v="1"/>
    <n v="5"/>
    <x v="0"/>
    <x v="1"/>
    <s v="-"/>
    <x v="1"/>
    <n v="0"/>
    <x v="4"/>
    <x v="4"/>
  </r>
  <r>
    <x v="227"/>
    <s v="Patrícia Leite"/>
    <x v="0"/>
    <x v="226"/>
    <x v="0"/>
    <n v="15"/>
    <x v="1"/>
    <x v="0"/>
    <n v="30"/>
    <x v="0"/>
    <n v="20"/>
    <x v="3"/>
    <x v="3"/>
  </r>
  <r>
    <x v="228"/>
    <s v="Quênia Rocha"/>
    <x v="2"/>
    <x v="227"/>
    <x v="1"/>
    <n v="10"/>
    <x v="0"/>
    <x v="1"/>
    <s v="-"/>
    <x v="0"/>
    <n v="20"/>
    <x v="2"/>
    <x v="2"/>
  </r>
  <r>
    <x v="229"/>
    <s v="Rafael Torres"/>
    <x v="1"/>
    <x v="228"/>
    <x v="0"/>
    <n v="5"/>
    <x v="2"/>
    <x v="1"/>
    <s v="-"/>
    <x v="1"/>
    <n v="0"/>
    <x v="1"/>
    <x v="1"/>
  </r>
  <r>
    <x v="230"/>
    <s v="Sandra Gouveia"/>
    <x v="0"/>
    <x v="229"/>
    <x v="1"/>
    <n v="15"/>
    <x v="0"/>
    <x v="0"/>
    <n v="30"/>
    <x v="0"/>
    <n v="20"/>
    <x v="6"/>
    <x v="14"/>
  </r>
  <r>
    <x v="231"/>
    <s v="Tiago Lacerda"/>
    <x v="2"/>
    <x v="230"/>
    <x v="0"/>
    <n v="10"/>
    <x v="1"/>
    <x v="1"/>
    <s v="-"/>
    <x v="0"/>
    <n v="20"/>
    <x v="6"/>
    <x v="7"/>
  </r>
  <r>
    <x v="232"/>
    <s v="Ursula Fonseca"/>
    <x v="1"/>
    <x v="231"/>
    <x v="1"/>
    <n v="5"/>
    <x v="0"/>
    <x v="1"/>
    <s v="-"/>
    <x v="1"/>
    <n v="0"/>
    <x v="4"/>
    <x v="4"/>
  </r>
  <r>
    <x v="233"/>
    <s v="Vanessa Andrade"/>
    <x v="0"/>
    <x v="232"/>
    <x v="0"/>
    <n v="15"/>
    <x v="2"/>
    <x v="0"/>
    <n v="30"/>
    <x v="0"/>
    <n v="20"/>
    <x v="10"/>
    <x v="12"/>
  </r>
  <r>
    <x v="234"/>
    <s v="William Castro"/>
    <x v="2"/>
    <x v="233"/>
    <x v="1"/>
    <n v="10"/>
    <x v="0"/>
    <x v="1"/>
    <s v="-"/>
    <x v="0"/>
    <n v="20"/>
    <x v="2"/>
    <x v="2"/>
  </r>
  <r>
    <x v="235"/>
    <s v="Xavier Monteiro"/>
    <x v="1"/>
    <x v="234"/>
    <x v="0"/>
    <n v="5"/>
    <x v="1"/>
    <x v="1"/>
    <s v="-"/>
    <x v="1"/>
    <n v="0"/>
    <x v="1"/>
    <x v="1"/>
  </r>
  <r>
    <x v="236"/>
    <s v="Yasmin Figueira"/>
    <x v="0"/>
    <x v="235"/>
    <x v="1"/>
    <n v="15"/>
    <x v="0"/>
    <x v="0"/>
    <n v="30"/>
    <x v="0"/>
    <n v="20"/>
    <x v="6"/>
    <x v="14"/>
  </r>
  <r>
    <x v="237"/>
    <s v="Zacarias Mendonça"/>
    <x v="2"/>
    <x v="236"/>
    <x v="0"/>
    <n v="10"/>
    <x v="2"/>
    <x v="1"/>
    <s v="-"/>
    <x v="0"/>
    <n v="20"/>
    <x v="9"/>
    <x v="10"/>
  </r>
  <r>
    <x v="238"/>
    <s v="Amanda Menezes"/>
    <x v="1"/>
    <x v="237"/>
    <x v="1"/>
    <n v="5"/>
    <x v="0"/>
    <x v="1"/>
    <s v="-"/>
    <x v="1"/>
    <n v="0"/>
    <x v="5"/>
    <x v="11"/>
  </r>
  <r>
    <x v="239"/>
    <s v="Bruno Santos"/>
    <x v="0"/>
    <x v="238"/>
    <x v="0"/>
    <n v="15"/>
    <x v="1"/>
    <x v="0"/>
    <n v="30"/>
    <x v="0"/>
    <n v="20"/>
    <x v="0"/>
    <x v="0"/>
  </r>
  <r>
    <x v="240"/>
    <s v="Carla Ferreira"/>
    <x v="2"/>
    <x v="239"/>
    <x v="1"/>
    <n v="10"/>
    <x v="0"/>
    <x v="1"/>
    <s v="-"/>
    <x v="0"/>
    <n v="20"/>
    <x v="2"/>
    <x v="2"/>
  </r>
  <r>
    <x v="241"/>
    <s v="Diogo Alves"/>
    <x v="1"/>
    <x v="240"/>
    <x v="0"/>
    <n v="5"/>
    <x v="2"/>
    <x v="1"/>
    <s v="-"/>
    <x v="1"/>
    <n v="0"/>
    <x v="1"/>
    <x v="1"/>
  </r>
  <r>
    <x v="242"/>
    <s v="Elisa Neves"/>
    <x v="0"/>
    <x v="241"/>
    <x v="1"/>
    <n v="15"/>
    <x v="0"/>
    <x v="0"/>
    <n v="30"/>
    <x v="0"/>
    <n v="20"/>
    <x v="3"/>
    <x v="3"/>
  </r>
  <r>
    <x v="243"/>
    <s v="Fabiano Pires"/>
    <x v="2"/>
    <x v="242"/>
    <x v="0"/>
    <n v="10"/>
    <x v="1"/>
    <x v="1"/>
    <s v="-"/>
    <x v="0"/>
    <n v="20"/>
    <x v="6"/>
    <x v="7"/>
  </r>
  <r>
    <x v="244"/>
    <s v="Giovana Ribeiro"/>
    <x v="1"/>
    <x v="243"/>
    <x v="1"/>
    <n v="5"/>
    <x v="0"/>
    <x v="1"/>
    <s v="-"/>
    <x v="1"/>
    <n v="0"/>
    <x v="4"/>
    <x v="4"/>
  </r>
  <r>
    <x v="245"/>
    <s v="Hélio Costa"/>
    <x v="0"/>
    <x v="244"/>
    <x v="0"/>
    <n v="15"/>
    <x v="2"/>
    <x v="0"/>
    <n v="30"/>
    <x v="0"/>
    <n v="20"/>
    <x v="10"/>
    <x v="12"/>
  </r>
  <r>
    <x v="246"/>
    <s v="Íris Loureiro"/>
    <x v="2"/>
    <x v="245"/>
    <x v="1"/>
    <n v="10"/>
    <x v="0"/>
    <x v="1"/>
    <s v="-"/>
    <x v="0"/>
    <n v="20"/>
    <x v="2"/>
    <x v="2"/>
  </r>
  <r>
    <x v="247"/>
    <s v="João Pereira"/>
    <x v="1"/>
    <x v="246"/>
    <x v="0"/>
    <n v="5"/>
    <x v="1"/>
    <x v="1"/>
    <s v="-"/>
    <x v="1"/>
    <n v="0"/>
    <x v="1"/>
    <x v="1"/>
  </r>
  <r>
    <x v="248"/>
    <s v="Klara Silva"/>
    <x v="0"/>
    <x v="247"/>
    <x v="1"/>
    <n v="15"/>
    <x v="0"/>
    <x v="0"/>
    <n v="30"/>
    <x v="0"/>
    <n v="20"/>
    <x v="7"/>
    <x v="8"/>
  </r>
  <r>
    <x v="249"/>
    <s v="Luciana Barros"/>
    <x v="2"/>
    <x v="248"/>
    <x v="0"/>
    <n v="10"/>
    <x v="2"/>
    <x v="1"/>
    <s v="-"/>
    <x v="0"/>
    <n v="20"/>
    <x v="6"/>
    <x v="7"/>
  </r>
  <r>
    <x v="250"/>
    <s v="Marcos Gomes"/>
    <x v="1"/>
    <x v="249"/>
    <x v="1"/>
    <n v="5"/>
    <x v="0"/>
    <x v="1"/>
    <s v="-"/>
    <x v="1"/>
    <n v="0"/>
    <x v="4"/>
    <x v="4"/>
  </r>
  <r>
    <x v="251"/>
    <s v="Natália Soares"/>
    <x v="0"/>
    <x v="250"/>
    <x v="0"/>
    <n v="15"/>
    <x v="1"/>
    <x v="0"/>
    <n v="30"/>
    <x v="0"/>
    <n v="20"/>
    <x v="3"/>
    <x v="3"/>
  </r>
  <r>
    <x v="252"/>
    <s v="Oscar Machado"/>
    <x v="2"/>
    <x v="251"/>
    <x v="1"/>
    <n v="10"/>
    <x v="0"/>
    <x v="1"/>
    <s v="-"/>
    <x v="0"/>
    <n v="20"/>
    <x v="2"/>
    <x v="2"/>
  </r>
  <r>
    <x v="253"/>
    <s v="Patrícia Lima"/>
    <x v="1"/>
    <x v="252"/>
    <x v="0"/>
    <n v="5"/>
    <x v="2"/>
    <x v="1"/>
    <s v="-"/>
    <x v="1"/>
    <n v="0"/>
    <x v="1"/>
    <x v="1"/>
  </r>
  <r>
    <x v="254"/>
    <s v="Quirino Neto"/>
    <x v="0"/>
    <x v="253"/>
    <x v="1"/>
    <n v="15"/>
    <x v="0"/>
    <x v="0"/>
    <n v="30"/>
    <x v="0"/>
    <n v="20"/>
    <x v="6"/>
    <x v="14"/>
  </r>
  <r>
    <x v="255"/>
    <s v="Rafaela Souza"/>
    <x v="1"/>
    <x v="254"/>
    <x v="0"/>
    <n v="5"/>
    <x v="0"/>
    <x v="1"/>
    <s v="-"/>
    <x v="1"/>
    <n v="0"/>
    <x v="1"/>
    <x v="1"/>
  </r>
  <r>
    <x v="256"/>
    <s v="Sandro Almeida"/>
    <x v="0"/>
    <x v="255"/>
    <x v="1"/>
    <n v="15"/>
    <x v="2"/>
    <x v="0"/>
    <n v="30"/>
    <x v="0"/>
    <n v="20"/>
    <x v="10"/>
    <x v="12"/>
  </r>
  <r>
    <x v="257"/>
    <s v="Tânia Ribeiro"/>
    <x v="2"/>
    <x v="256"/>
    <x v="0"/>
    <n v="10"/>
    <x v="1"/>
    <x v="1"/>
    <s v="-"/>
    <x v="0"/>
    <n v="20"/>
    <x v="2"/>
    <x v="2"/>
  </r>
  <r>
    <x v="258"/>
    <s v="Ugo Dias"/>
    <x v="1"/>
    <x v="257"/>
    <x v="1"/>
    <n v="5"/>
    <x v="2"/>
    <x v="1"/>
    <s v="-"/>
    <x v="1"/>
    <n v="0"/>
    <x v="4"/>
    <x v="4"/>
  </r>
  <r>
    <x v="259"/>
    <s v="Valéria Lima"/>
    <x v="0"/>
    <x v="258"/>
    <x v="0"/>
    <n v="15"/>
    <x v="0"/>
    <x v="0"/>
    <n v="30"/>
    <x v="0"/>
    <n v="20"/>
    <x v="6"/>
    <x v="14"/>
  </r>
  <r>
    <x v="260"/>
    <s v="William Fernandes"/>
    <x v="2"/>
    <x v="259"/>
    <x v="1"/>
    <n v="10"/>
    <x v="0"/>
    <x v="1"/>
    <s v="-"/>
    <x v="0"/>
    <n v="20"/>
    <x v="0"/>
    <x v="13"/>
  </r>
  <r>
    <x v="261"/>
    <s v="Xuxa Mendes"/>
    <x v="1"/>
    <x v="260"/>
    <x v="0"/>
    <n v="5"/>
    <x v="1"/>
    <x v="1"/>
    <s v="-"/>
    <x v="1"/>
    <n v="0"/>
    <x v="1"/>
    <x v="1"/>
  </r>
  <r>
    <x v="262"/>
    <s v="Ygor Farias"/>
    <x v="0"/>
    <x v="261"/>
    <x v="1"/>
    <n v="15"/>
    <x v="2"/>
    <x v="0"/>
    <n v="30"/>
    <x v="0"/>
    <n v="20"/>
    <x v="7"/>
    <x v="8"/>
  </r>
  <r>
    <x v="263"/>
    <s v="Zilda Barros"/>
    <x v="2"/>
    <x v="262"/>
    <x v="0"/>
    <n v="10"/>
    <x v="2"/>
    <x v="1"/>
    <s v="-"/>
    <x v="0"/>
    <n v="20"/>
    <x v="9"/>
    <x v="10"/>
  </r>
  <r>
    <x v="264"/>
    <s v="Amanda Santos"/>
    <x v="1"/>
    <x v="263"/>
    <x v="1"/>
    <n v="5"/>
    <x v="0"/>
    <x v="1"/>
    <s v="-"/>
    <x v="1"/>
    <n v="0"/>
    <x v="5"/>
    <x v="11"/>
  </r>
  <r>
    <x v="265"/>
    <s v="Bruno Costa"/>
    <x v="0"/>
    <x v="264"/>
    <x v="0"/>
    <n v="15"/>
    <x v="1"/>
    <x v="0"/>
    <n v="30"/>
    <x v="0"/>
    <n v="20"/>
    <x v="0"/>
    <x v="0"/>
  </r>
  <r>
    <x v="266"/>
    <s v="Carla Rodrigues"/>
    <x v="2"/>
    <x v="265"/>
    <x v="1"/>
    <n v="10"/>
    <x v="0"/>
    <x v="1"/>
    <s v="-"/>
    <x v="0"/>
    <n v="20"/>
    <x v="2"/>
    <x v="2"/>
  </r>
  <r>
    <x v="267"/>
    <s v="Diogo Pereira"/>
    <x v="1"/>
    <x v="266"/>
    <x v="0"/>
    <n v="5"/>
    <x v="2"/>
    <x v="1"/>
    <s v="-"/>
    <x v="1"/>
    <n v="0"/>
    <x v="1"/>
    <x v="1"/>
  </r>
  <r>
    <x v="268"/>
    <s v="Elisa Correia"/>
    <x v="0"/>
    <x v="267"/>
    <x v="1"/>
    <n v="15"/>
    <x v="0"/>
    <x v="0"/>
    <n v="30"/>
    <x v="0"/>
    <n v="20"/>
    <x v="3"/>
    <x v="3"/>
  </r>
  <r>
    <x v="269"/>
    <s v="Fábio Lourenço"/>
    <x v="2"/>
    <x v="268"/>
    <x v="0"/>
    <n v="10"/>
    <x v="1"/>
    <x v="1"/>
    <s v="-"/>
    <x v="0"/>
    <n v="20"/>
    <x v="6"/>
    <x v="7"/>
  </r>
  <r>
    <x v="270"/>
    <s v="Gabriela Neves"/>
    <x v="1"/>
    <x v="269"/>
    <x v="1"/>
    <n v="5"/>
    <x v="0"/>
    <x v="1"/>
    <s v="-"/>
    <x v="1"/>
    <n v="0"/>
    <x v="4"/>
    <x v="4"/>
  </r>
  <r>
    <x v="271"/>
    <s v="Henrique Gonçalves"/>
    <x v="0"/>
    <x v="270"/>
    <x v="0"/>
    <n v="15"/>
    <x v="2"/>
    <x v="0"/>
    <n v="30"/>
    <x v="0"/>
    <n v="20"/>
    <x v="10"/>
    <x v="12"/>
  </r>
  <r>
    <x v="272"/>
    <s v="Íris Santos"/>
    <x v="2"/>
    <x v="271"/>
    <x v="1"/>
    <n v="10"/>
    <x v="0"/>
    <x v="1"/>
    <s v="-"/>
    <x v="0"/>
    <n v="20"/>
    <x v="2"/>
    <x v="2"/>
  </r>
  <r>
    <x v="273"/>
    <s v="João Marcelo Alves"/>
    <x v="1"/>
    <x v="272"/>
    <x v="0"/>
    <n v="5"/>
    <x v="1"/>
    <x v="1"/>
    <s v="-"/>
    <x v="1"/>
    <n v="0"/>
    <x v="1"/>
    <x v="1"/>
  </r>
  <r>
    <x v="274"/>
    <s v="Klara Fonseca"/>
    <x v="0"/>
    <x v="273"/>
    <x v="1"/>
    <n v="15"/>
    <x v="0"/>
    <x v="0"/>
    <n v="30"/>
    <x v="0"/>
    <n v="20"/>
    <x v="7"/>
    <x v="8"/>
  </r>
  <r>
    <x v="275"/>
    <s v="Lucas Mendonça"/>
    <x v="2"/>
    <x v="274"/>
    <x v="0"/>
    <n v="10"/>
    <x v="2"/>
    <x v="1"/>
    <s v="-"/>
    <x v="0"/>
    <n v="20"/>
    <x v="6"/>
    <x v="7"/>
  </r>
  <r>
    <x v="276"/>
    <s v="Marcela Torres"/>
    <x v="1"/>
    <x v="275"/>
    <x v="1"/>
    <n v="5"/>
    <x v="0"/>
    <x v="1"/>
    <s v="-"/>
    <x v="1"/>
    <n v="0"/>
    <x v="4"/>
    <x v="4"/>
  </r>
  <r>
    <x v="277"/>
    <s v="Natália Castro"/>
    <x v="0"/>
    <x v="276"/>
    <x v="0"/>
    <n v="15"/>
    <x v="1"/>
    <x v="0"/>
    <n v="30"/>
    <x v="0"/>
    <n v="20"/>
    <x v="3"/>
    <x v="3"/>
  </r>
  <r>
    <x v="278"/>
    <s v="Oscar Martins"/>
    <x v="2"/>
    <x v="277"/>
    <x v="1"/>
    <n v="10"/>
    <x v="0"/>
    <x v="1"/>
    <s v="-"/>
    <x v="0"/>
    <n v="20"/>
    <x v="2"/>
    <x v="2"/>
  </r>
  <r>
    <x v="279"/>
    <s v="Patrícia Oliveira"/>
    <x v="1"/>
    <x v="278"/>
    <x v="0"/>
    <n v="5"/>
    <x v="2"/>
    <x v="1"/>
    <s v="-"/>
    <x v="1"/>
    <n v="0"/>
    <x v="1"/>
    <x v="1"/>
  </r>
  <r>
    <x v="280"/>
    <s v="Quentin Nogueira"/>
    <x v="0"/>
    <x v="279"/>
    <x v="1"/>
    <n v="15"/>
    <x v="0"/>
    <x v="0"/>
    <n v="30"/>
    <x v="0"/>
    <n v="20"/>
    <x v="6"/>
    <x v="14"/>
  </r>
  <r>
    <x v="281"/>
    <s v="Raquel Silva"/>
    <x v="2"/>
    <x v="280"/>
    <x v="0"/>
    <n v="10"/>
    <x v="1"/>
    <x v="1"/>
    <s v="-"/>
    <x v="0"/>
    <n v="20"/>
    <x v="6"/>
    <x v="7"/>
  </r>
  <r>
    <x v="282"/>
    <s v="Sandro Gomes"/>
    <x v="1"/>
    <x v="281"/>
    <x v="1"/>
    <n v="5"/>
    <x v="0"/>
    <x v="1"/>
    <s v="-"/>
    <x v="1"/>
    <n v="0"/>
    <x v="4"/>
    <x v="4"/>
  </r>
  <r>
    <x v="283"/>
    <s v="Tânia Machado"/>
    <x v="0"/>
    <x v="282"/>
    <x v="0"/>
    <n v="15"/>
    <x v="2"/>
    <x v="0"/>
    <n v="30"/>
    <x v="0"/>
    <n v="20"/>
    <x v="10"/>
    <x v="12"/>
  </r>
  <r>
    <x v="284"/>
    <s v="Ursula Silva"/>
    <x v="2"/>
    <x v="283"/>
    <x v="1"/>
    <n v="10"/>
    <x v="0"/>
    <x v="1"/>
    <s v="-"/>
    <x v="0"/>
    <n v="20"/>
    <x v="2"/>
    <x v="2"/>
  </r>
  <r>
    <x v="285"/>
    <s v="Vanessa Moraes"/>
    <x v="1"/>
    <x v="284"/>
    <x v="0"/>
    <n v="5"/>
    <x v="1"/>
    <x v="1"/>
    <s v="-"/>
    <x v="1"/>
    <n v="0"/>
    <x v="1"/>
    <x v="1"/>
  </r>
  <r>
    <x v="286"/>
    <s v="William Carvalho"/>
    <x v="0"/>
    <x v="285"/>
    <x v="1"/>
    <n v="15"/>
    <x v="0"/>
    <x v="0"/>
    <n v="30"/>
    <x v="0"/>
    <n v="20"/>
    <x v="7"/>
    <x v="8"/>
  </r>
  <r>
    <x v="287"/>
    <s v="Xavier Reis"/>
    <x v="2"/>
    <x v="286"/>
    <x v="0"/>
    <n v="10"/>
    <x v="2"/>
    <x v="1"/>
    <s v="-"/>
    <x v="0"/>
    <n v="20"/>
    <x v="9"/>
    <x v="10"/>
  </r>
  <r>
    <x v="288"/>
    <s v="Yasmin Rocha"/>
    <x v="1"/>
    <x v="287"/>
    <x v="1"/>
    <n v="5"/>
    <x v="0"/>
    <x v="1"/>
    <s v="-"/>
    <x v="1"/>
    <n v="0"/>
    <x v="5"/>
    <x v="11"/>
  </r>
  <r>
    <x v="289"/>
    <s v="Zacarias Duarte"/>
    <x v="0"/>
    <x v="288"/>
    <x v="0"/>
    <n v="15"/>
    <x v="1"/>
    <x v="0"/>
    <n v="30"/>
    <x v="0"/>
    <n v="20"/>
    <x v="0"/>
    <x v="0"/>
  </r>
  <r>
    <x v="290"/>
    <s v="Amanda Freitas"/>
    <x v="2"/>
    <x v="289"/>
    <x v="1"/>
    <n v="10"/>
    <x v="0"/>
    <x v="1"/>
    <s v="-"/>
    <x v="0"/>
    <n v="20"/>
    <x v="2"/>
    <x v="2"/>
  </r>
  <r>
    <x v="291"/>
    <s v="Bruno Almeida"/>
    <x v="1"/>
    <x v="290"/>
    <x v="0"/>
    <n v="5"/>
    <x v="2"/>
    <x v="1"/>
    <s v="-"/>
    <x v="1"/>
    <n v="0"/>
    <x v="1"/>
    <x v="1"/>
  </r>
  <r>
    <x v="292"/>
    <s v="Carla Siqueira"/>
    <x v="0"/>
    <x v="291"/>
    <x v="1"/>
    <n v="15"/>
    <x v="0"/>
    <x v="0"/>
    <n v="30"/>
    <x v="0"/>
    <n v="20"/>
    <x v="3"/>
    <x v="3"/>
  </r>
  <r>
    <x v="293"/>
    <s v="Diogo Ramos"/>
    <x v="2"/>
    <x v="292"/>
    <x v="0"/>
    <n v="10"/>
    <x v="1"/>
    <x v="1"/>
    <s v="-"/>
    <x v="0"/>
    <n v="20"/>
    <x v="6"/>
    <x v="7"/>
  </r>
  <r>
    <x v="294"/>
    <s v="Elisa Magalhães"/>
    <x v="1"/>
    <x v="293"/>
    <x v="1"/>
    <n v="5"/>
    <x v="0"/>
    <x v="1"/>
    <s v="-"/>
    <x v="1"/>
    <n v="0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3AB4B-4428-4C0B-9F43-38E165E07D0B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5:F6" firstHeaderRow="1" firstDataRow="1" firstDataCol="0"/>
  <pivotFields count="15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Total de Assinantes" fld="0" subtotal="count" baseField="0" baseItem="1571963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2897F-9840-49DD-96AA-1BE272E45B74}" name="Tabela dinâ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51:C55" firstHeaderRow="1" firstDataRow="1" firstDataCol="1"/>
  <pivotFields count="15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6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2AE46-D804-44A7-9863-4434E5BB1A3C}" name="tbl_a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5:C9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Faturamento Total" fld="12" baseField="0" baseItem="157203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2D90D-9A07-45BF-8C7C-852D6895FC1F}" name="Tabela dinâmica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26:F27" firstHeaderRow="1" firstDataRow="1" firstDataCol="0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164" showAll="0"/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Valor Total de Cupons" fld="11" baseField="0" baseItem="1571963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D6695-7C3C-426D-AE0E-D79970965A1A}" name="Tabela dinâmica1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92:B93" firstHeaderRow="1" firstDataRow="1" firstDataCol="0" rowPageCount="1" colPageCount="1"/>
  <pivotFields count="15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numFmtId="14"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 defaultSubtotal="0"/>
    <pivotField dataField="1" dragToRow="0" dragToCol="0" dragToPage="0" showAll="0" defaultSubtotal="0"/>
  </pivotFields>
  <rowItems count="1">
    <i/>
  </rowItems>
  <colItems count="1">
    <i/>
  </colItems>
  <pageFields count="1">
    <pageField fld="6" hier="-1"/>
  </pageFields>
  <dataFields count="1">
    <dataField name="Média de ticket_médio" fld="14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BE0C5-9B95-4DC5-8498-84E49054D222}" name="proporção de assinantes com renovação automática ativada por tipo de assinatura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7">
  <location ref="B66:E71" firstHeaderRow="1" firstDataRow="2" firstDataCol="1"/>
  <pivotFields count="15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3">
        <item x="1"/>
        <item x="0"/>
        <item t="default"/>
      </items>
    </pivotField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proporção de assinantes com renovação automática ativada por tipo de assinatura" fld="0" subtotal="count" baseField="6" baseItem="0"/>
  </dataFields>
  <chartFormats count="2"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EF3BD-AFE5-4A4E-B717-B0AD7072415D}" name="Tabela dinâ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33:C45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16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axis="axisRow" numFmtId="16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Receita Média por Assinante com e sem Cupons Aplicados" fld="12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3D1A3-ED93-4DF3-983B-CB70EDC0DCED}" name="Tabela dinâmica1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I5:I6" firstHeaderRow="1" firstDataRow="1" firstDataCol="0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Média de Preços das Assinaturas" fld="5" subtotal="average" baseField="0" baseItem="157193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1EA06-8CC8-469C-843B-2228D1C7B4CC}" name="tbl_minecraft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19:G23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dataField="1"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Faturamento Minecraft" fld="10" baseField="0" baseItem="15719632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94343-0B7C-42F1-A058-E270F16337B7}" name="tbl_ea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21:C23" firstHeaderRow="1" firstDataRow="1" firstDataCol="1" rowPageCount="1" colPageCount="1"/>
  <pivotFields count="15">
    <pivotField showAll="0"/>
    <pivotField showAll="0"/>
    <pivotField axis="axisRow" showAll="0">
      <items count="4">
        <item h="1" x="1"/>
        <item h="1"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Faturamento EA Play Season Pass" fld="8" baseField="2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2855E-4AB3-4DC7-9604-37C751702ABF}" name="Receita Média por Tipo de Plano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J50:J51" firstHeaderRow="1" firstDataRow="1" firstDataCol="0" rowPageCount="1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Items count="1">
    <i/>
  </rowItems>
  <colItems count="1">
    <i/>
  </colItems>
  <pageFields count="1">
    <pageField fld="2" hier="-1"/>
  </pageFields>
  <dataFields count="1">
    <dataField name="Receita Média por Tipo de Plano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533DC885-5FD4-4309-80DA-CD359D46C411}" sourceName="Auto Renewal">
  <pivotTables>
    <pivotTable tabId="3" name="Tabela dinâmica9"/>
  </pivotTables>
  <data>
    <tabular pivotCacheId="1392744228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rt_Date2" xr10:uid="{E980E073-C716-4A8B-B6A3-C5C0CC6CE8F7}" sourceName="Start Date">
  <pivotTables>
    <pivotTable tabId="3" name="proporção de assinantes com renovação automática ativada por tipo de assinatura"/>
  </pivotTables>
  <data>
    <tabular pivotCacheId="1392744228">
      <items count="368">
        <i x="101" s="1"/>
        <i x="223" s="1"/>
        <i x="345" s="1"/>
        <i x="41" s="1"/>
        <i x="192" s="1"/>
        <i x="162" s="1"/>
        <i x="70" s="1"/>
        <i x="131" s="1"/>
        <i x="315" s="1"/>
        <i x="284" s="1"/>
        <i x="254" s="1"/>
        <i x="102" s="1"/>
        <i x="224" s="1"/>
        <i x="346" s="1"/>
        <i x="193" s="1"/>
        <i x="163" s="1"/>
        <i x="71" s="1"/>
        <i x="132" s="1"/>
        <i x="316" s="1"/>
        <i x="285" s="1"/>
        <i x="255" s="1"/>
        <i x="103" s="1"/>
        <i x="225" s="1"/>
        <i x="347" s="1"/>
        <i x="194" s="1"/>
        <i x="164" s="1"/>
        <i x="72" s="1"/>
        <i x="133" s="1"/>
        <i x="317" s="1"/>
        <i x="286" s="1"/>
        <i x="256" s="1"/>
        <i x="104" s="1"/>
        <i x="226" s="1"/>
        <i x="348" s="1"/>
        <i x="195" s="1"/>
        <i x="165" s="1"/>
        <i x="73" s="1"/>
        <i x="134" s="1"/>
        <i x="318" s="1"/>
        <i x="287" s="1"/>
        <i x="257" s="1"/>
        <i x="105" s="1"/>
        <i x="227" s="1"/>
        <i x="349" s="1"/>
        <i x="196" s="1"/>
        <i x="166" s="1"/>
        <i x="74" s="1"/>
        <i x="135" s="1"/>
        <i x="319" s="1"/>
        <i x="288" s="1"/>
        <i x="258" s="1"/>
        <i x="106" s="1"/>
        <i x="228" s="1"/>
        <i x="350" s="1"/>
        <i x="15" s="1"/>
        <i x="197" s="1"/>
        <i x="167" s="1"/>
        <i x="75" s="1"/>
        <i x="136" s="1"/>
        <i x="320" s="1"/>
        <i x="289" s="1"/>
        <i x="259" s="1"/>
        <i x="107" s="1"/>
        <i x="229" s="1"/>
        <i x="351" s="1"/>
        <i x="198" s="1"/>
        <i x="168" s="1"/>
        <i x="76" s="1"/>
        <i x="137" s="1"/>
        <i x="321" s="1"/>
        <i x="290" s="1"/>
        <i x="260" s="1"/>
        <i x="108" s="1"/>
        <i x="230" s="1"/>
        <i x="199" s="1"/>
        <i x="169" s="1"/>
        <i x="77" s="1"/>
        <i x="138" s="1"/>
        <i x="322" s="1"/>
        <i x="291" s="1"/>
        <i x="261" s="1"/>
        <i x="109" s="1"/>
        <i x="231" s="1"/>
        <i x="200" s="1"/>
        <i x="170" s="1"/>
        <i x="78" s="1"/>
        <i x="139" s="1"/>
        <i x="323" s="1"/>
        <i x="292" s="1"/>
        <i x="262" s="1"/>
        <i x="110" s="1"/>
        <i x="232" s="1"/>
        <i x="201" s="1"/>
        <i x="171" s="1"/>
        <i x="79" s="1"/>
        <i x="140" s="1"/>
        <i x="324" s="1"/>
        <i x="293" s="1"/>
        <i x="263" s="1"/>
        <i x="92" s="1"/>
        <i x="214" s="1"/>
        <i x="336" s="1"/>
        <i x="1" s="1"/>
        <i x="183" s="1"/>
        <i x="153" s="1"/>
        <i x="122" s="1"/>
        <i x="306" s="1"/>
        <i x="275" s="1"/>
        <i x="245" s="1"/>
        <i x="111" s="1"/>
        <i x="233" s="1"/>
        <i x="51" s="1"/>
        <i x="202" s="1"/>
        <i x="172" s="1"/>
        <i x="80" s="1"/>
        <i x="141" s="1"/>
        <i x="325" s="1"/>
        <i x="294" s="1"/>
        <i x="264" s="1"/>
        <i x="112" s="1"/>
        <i x="234" s="1"/>
        <i x="203" s="1"/>
        <i x="173" s="1"/>
        <i x="81" s="1"/>
        <i x="142" s="1"/>
        <i x="326" s="1"/>
        <i x="295" s="1"/>
        <i x="265" s="1"/>
        <i x="113" s="1"/>
        <i x="235" s="1"/>
        <i x="204" s="1"/>
        <i x="174" s="1"/>
        <i x="82" s="1"/>
        <i x="143" s="1"/>
        <i x="327" s="1"/>
        <i x="296" s="1"/>
        <i x="266" s="1"/>
        <i x="114" s="1"/>
        <i x="236" s="1"/>
        <i x="205" s="1"/>
        <i x="175" s="1"/>
        <i x="83" s="1"/>
        <i x="144" s="1"/>
        <i x="328" s="1"/>
        <i x="297" s="1"/>
        <i x="267" s="1"/>
        <i x="115" s="1"/>
        <i x="237" s="1"/>
        <i x="206" s="1"/>
        <i x="176" s="1"/>
        <i x="84" s="1"/>
        <i x="145" s="1"/>
        <i x="329" s="1"/>
        <i x="298" s="1"/>
        <i x="268" s="1"/>
        <i x="116" s="1"/>
        <i x="238" s="1"/>
        <i x="207" s="1"/>
        <i x="177" s="1"/>
        <i x="85" s="1"/>
        <i x="146" s="1"/>
        <i x="330" s="1"/>
        <i x="299" s="1"/>
        <i x="269" s="1"/>
        <i x="117" s="1"/>
        <i x="239" s="1"/>
        <i x="208" s="1"/>
        <i x="178" s="1"/>
        <i x="86" s="1"/>
        <i x="147" s="1"/>
        <i x="331" s="1"/>
        <i x="300" s="1"/>
        <i x="270" s="1"/>
        <i x="118" s="1"/>
        <i x="240" s="1"/>
        <i x="209" s="1"/>
        <i x="179" s="1"/>
        <i x="87" s="1"/>
        <i x="148" s="1"/>
        <i x="332" s="1"/>
        <i x="301" s="1"/>
        <i x="271" s="1"/>
        <i x="119" s="1"/>
        <i x="241" s="1"/>
        <i x="210" s="1"/>
        <i x="180" s="1"/>
        <i x="88" s="1"/>
        <i x="149" s="1"/>
        <i x="333" s="1"/>
        <i x="302" s="1"/>
        <i x="272" s="1"/>
        <i x="120" s="1"/>
        <i x="242" s="1"/>
        <i x="211" s="1"/>
        <i x="181" s="1"/>
        <i x="89" s="1"/>
        <i x="150" s="1"/>
        <i x="334" s="1"/>
        <i x="303" s="1"/>
        <i x="273" s="1"/>
        <i x="93" s="1"/>
        <i x="215" s="1"/>
        <i x="337" s="1"/>
        <i x="184" s="1"/>
        <i x="154" s="1"/>
        <i x="62" s="1"/>
        <i x="123" s="1"/>
        <i x="307" s="1"/>
        <i x="276" s="1"/>
        <i x="246" s="1"/>
        <i x="121" s="1"/>
        <i x="243" s="1"/>
        <i x="212" s="1"/>
        <i x="182" s="1"/>
        <i x="90" s="1"/>
        <i x="151" s="1"/>
        <i x="335" s="1"/>
        <i x="304" s="1"/>
        <i x="274" s="1"/>
        <i x="244" s="1"/>
        <i x="213" s="1"/>
        <i x="91" s="1"/>
        <i x="152" s="1"/>
        <i x="305" s="1"/>
        <i x="94" s="1"/>
        <i x="216" s="1"/>
        <i x="338" s="1"/>
        <i x="185" s="1"/>
        <i x="155" s="1"/>
        <i x="63" s="1"/>
        <i x="124" s="1"/>
        <i x="308" s="1"/>
        <i x="277" s="1"/>
        <i x="247" s="1"/>
        <i x="95" s="1"/>
        <i x="217" s="1"/>
        <i x="339" s="1"/>
        <i x="186" s="1"/>
        <i x="156" s="1"/>
        <i x="64" s="1"/>
        <i x="125" s="1"/>
        <i x="309" s="1"/>
        <i x="278" s="1"/>
        <i x="248" s="1"/>
        <i x="96" s="1"/>
        <i x="218" s="1"/>
        <i x="340" s="1"/>
        <i x="187" s="1"/>
        <i x="157" s="1"/>
        <i x="65" s="1"/>
        <i x="126" s="1"/>
        <i x="310" s="1"/>
        <i x="279" s="1"/>
        <i x="249" s="1"/>
        <i x="97" s="1"/>
        <i x="219" s="1"/>
        <i x="341" s="1"/>
        <i x="188" s="1"/>
        <i x="158" s="1"/>
        <i x="66" s="1"/>
        <i x="127" s="1"/>
        <i x="311" s="1"/>
        <i x="280" s="1"/>
        <i x="250" s="1"/>
        <i x="98" s="1"/>
        <i x="220" s="1"/>
        <i x="342" s="1"/>
        <i x="189" s="1"/>
        <i x="159" s="1"/>
        <i x="67" s="1"/>
        <i x="128" s="1"/>
        <i x="312" s="1"/>
        <i x="281" s="1"/>
        <i x="251" s="1"/>
        <i x="99" s="1"/>
        <i x="221" s="1"/>
        <i x="343" s="1"/>
        <i x="190" s="1"/>
        <i x="160" s="1"/>
        <i x="68" s="1"/>
        <i x="129" s="1"/>
        <i x="313" s="1"/>
        <i x="282" s="1"/>
        <i x="252" s="1"/>
        <i x="100" s="1"/>
        <i x="222" s="1"/>
        <i x="344" s="1"/>
        <i x="191" s="1"/>
        <i x="161" s="1"/>
        <i x="69" s="1"/>
        <i x="130" s="1"/>
        <i x="314" s="1"/>
        <i x="283" s="1"/>
        <i x="253" s="1"/>
        <i x="0" s="1" nd="1"/>
        <i x="367" s="1" nd="1"/>
        <i x="10" s="1" nd="1"/>
        <i x="42" s="1" nd="1"/>
        <i x="11" s="1" nd="1"/>
        <i x="43" s="1" nd="1"/>
        <i x="12" s="1" nd="1"/>
        <i x="44" s="1" nd="1"/>
        <i x="13" s="1" nd="1"/>
        <i x="45" s="1" nd="1"/>
        <i x="14" s="1" nd="1"/>
        <i x="46" s="1" nd="1"/>
        <i x="47" s="1" nd="1"/>
        <i x="16" s="1" nd="1"/>
        <i x="352" s="1" nd="1"/>
        <i x="48" s="1" nd="1"/>
        <i x="17" s="1" nd="1"/>
        <i x="353" s="1" nd="1"/>
        <i x="49" s="1" nd="1"/>
        <i x="18" s="1" nd="1"/>
        <i x="354" s="1" nd="1"/>
        <i x="50" s="1" nd="1"/>
        <i x="19" s="1" nd="1"/>
        <i x="32" s="1" nd="1"/>
        <i x="61" s="1" nd="1"/>
        <i x="355" s="1" nd="1"/>
        <i x="20" s="1" nd="1"/>
        <i x="356" s="1" nd="1"/>
        <i x="52" s="1" nd="1"/>
        <i x="21" s="1" nd="1"/>
        <i x="357" s="1" nd="1"/>
        <i x="53" s="1" nd="1"/>
        <i x="22" s="1" nd="1"/>
        <i x="358" s="1" nd="1"/>
        <i x="54" s="1" nd="1"/>
        <i x="23" s="1" nd="1"/>
        <i x="359" s="1" nd="1"/>
        <i x="55" s="1" nd="1"/>
        <i x="24" s="1" nd="1"/>
        <i x="360" s="1" nd="1"/>
        <i x="56" s="1" nd="1"/>
        <i x="25" s="1" nd="1"/>
        <i x="361" s="1" nd="1"/>
        <i x="57" s="1" nd="1"/>
        <i x="26" s="1" nd="1"/>
        <i x="362" s="1" nd="1"/>
        <i x="58" s="1" nd="1"/>
        <i x="27" s="1" nd="1"/>
        <i x="363" s="1" nd="1"/>
        <i x="59" s="1" nd="1"/>
        <i x="28" s="1" nd="1"/>
        <i x="364" s="1" nd="1"/>
        <i x="60" s="1" nd="1"/>
        <i x="29" s="1" nd="1"/>
        <i x="33" s="1" nd="1"/>
        <i x="2" s="1" nd="1"/>
        <i x="365" s="1" nd="1"/>
        <i x="30" s="1" nd="1"/>
        <i x="366" s="1" nd="1"/>
        <i x="31" s="1" nd="1"/>
        <i x="34" s="1" nd="1"/>
        <i x="3" s="1" nd="1"/>
        <i x="35" s="1" nd="1"/>
        <i x="4" s="1" nd="1"/>
        <i x="36" s="1" nd="1"/>
        <i x="5" s="1" nd="1"/>
        <i x="37" s="1" nd="1"/>
        <i x="6" s="1" nd="1"/>
        <i x="38" s="1" nd="1"/>
        <i x="7" s="1" nd="1"/>
        <i x="39" s="1" nd="1"/>
        <i x="8" s="1" nd="1"/>
        <i x="40" s="1" nd="1"/>
        <i x="9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1" xr10:uid="{DB82B50F-17B4-47C0-A206-497EBABE5370}" sourceName="Plan">
  <pivotTables>
    <pivotTable tabId="3" name="tbl_anual_total"/>
  </pivotTables>
  <data>
    <tabular pivotCacheId="1392744228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F994F200-5E71-4673-9D7C-D893548F3CC8}" sourceName="Plan">
  <pivotTables>
    <pivotTable tabId="3" name="tbl_minecraft"/>
  </pivotTables>
  <data>
    <tabular pivotCacheId="1392744228">
      <items count="3">
        <i x="1" s="1"/>
        <i x="2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FCD665B-DC8B-4B7C-9418-76E1A1BF6BCD}" sourceName="Subscription Type">
  <pivotTables>
    <pivotTable tabId="3" name="tbl_anual_total"/>
    <pivotTable tabId="3" name="tbl_ea"/>
    <pivotTable tabId="3" name="tbl_minecraft"/>
  </pivotTables>
  <data>
    <tabular pivotCacheId="1392744228">
      <items count="3">
        <i x="1" s="1"/>
        <i x="0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1" xr10:uid="{2C515DE5-212E-4757-B692-6C5DB549E2B7}" sourceName="Auto Renewal">
  <pivotTables>
    <pivotTable tabId="3" name="proporção de assinantes com renovação automática ativada por tipo de assinatura"/>
    <pivotTable tabId="3" name="tbl_anual_total"/>
    <pivotTable tabId="3" name="tbl_ea"/>
    <pivotTable tabId="3" name="tbl_minecraft"/>
  </pivotTables>
  <data>
    <tabular pivotCacheId="1392744228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uto Renewal" xr10:uid="{8084744E-09B7-4093-8CC8-0ECB17B13D45}" cache="SegmentaçãodeDados_Auto_Renewal" caption="Auto Renewal" rowHeight="241300"/>
  <slicer name="Start Date 3" xr10:uid="{441EF099-A0BA-492D-B93E-6063C1EBB3B0}" cache="SegmentaçãodeDados_Start_Date2" caption="Start Date" rowHeight="241300"/>
  <slicer name="Plan 3" xr10:uid="{AAD92213-30F8-489F-A38A-3D7E9991B7E8}" cache="SegmentaçãodeDados_Plan1" caption="Plan" rowHeight="241300"/>
  <slicer name="Plan" xr10:uid="{2845E08F-4EC3-4430-B295-7A4934A56CB9}" cache="SegmentaçãodeDados_Plan1" caption="Plan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 1" xr10:uid="{8DF00AFB-0DFA-47A6-9CAC-B1BE8016CCDE}" cache="SegmentaçãodeDados_Plan" caption="Plan" style="SlicerStyleDark6 2" rowHeight="241300"/>
  <slicer name="Subscription Type" xr10:uid="{518244EB-942F-43D5-A0A4-456FF080F0B3}" cache="SegmentaçãodeDados_Subscription_Type" caption="Subscription Type" style="SlicerStyleDark6 2" rowHeight="241300"/>
  <slicer name="Auto Renewal 1" xr10:uid="{719E6EC1-873A-4634-8254-7093524AEA02}" cache="SegmentaçãodeDados_Auto_Renewal1" caption="Auto Renewal" style="SlicerStyleDark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7" totalsRowCount="1" dataDxfId="2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totalsRowLabel="Total" dataDxfId="26" totalsRowDxfId="25"/>
    <tableColumn id="2" xr3:uid="{53DD39D0-2220-4121-9E9D-4EAA7E151C0F}" name="Name" dataDxfId="24" totalsRowDxfId="23"/>
    <tableColumn id="3" xr3:uid="{4F5FF271-4C57-4BE0-8F2C-F82C8551625C}" name="Plan" dataDxfId="22" totalsRowDxfId="21"/>
    <tableColumn id="4" xr3:uid="{8C17EB93-79B9-4E55-B8F7-BEB82F8253E9}" name="Start Date" dataDxfId="20" totalsRowDxfId="19"/>
    <tableColumn id="5" xr3:uid="{48CEDF9B-1689-482A-A828-5CCE7713264A}" name="Auto Renewal" dataDxfId="18" totalsRowDxfId="17"/>
    <tableColumn id="6" xr3:uid="{78B82374-9AA7-4E38-AE4F-78CDE6C83720}" name="Subscription Price" dataDxfId="16" totalsRowDxfId="15" dataCellStyle="Moeda" totalsRowCellStyle="Moeda"/>
    <tableColumn id="7" xr3:uid="{F2433F68-AF33-49D0-B1FB-19A396074EDE}" name="Subscription Type" dataDxfId="14" totalsRowDxfId="13"/>
    <tableColumn id="8" xr3:uid="{FD4D9C95-F6E5-4933-9068-A71FF7DF9343}" name="EA Play Season Pass" dataDxfId="12" totalsRowDxfId="11"/>
    <tableColumn id="13" xr3:uid="{978DD0D2-834E-4CE4-A39B-30976086932F}" name="EA Play Season Pass_x000a_Price" dataDxfId="10" totalsRowDxfId="9" dataCellStyle="Moeda" totalsRowCellStyle="Moeda"/>
    <tableColumn id="9" xr3:uid="{6E29F111-C395-4580-9DAD-3407D9E8B1A4}" name="Minecraft Season Pass" dataDxfId="8" totalsRowDxfId="7"/>
    <tableColumn id="10" xr3:uid="{EF544EAA-7F25-4FD5-A10E-8E62804DB9E3}" name="Minecraft Season Pass Price" dataDxfId="6" totalsRowDxfId="5" dataCellStyle="Moeda" totalsRowCellStyle="Moeda"/>
    <tableColumn id="11" xr3:uid="{7F6EB64A-1F07-4E48-9F0F-AC7D9DCD26F8}" name="Coupon Value" dataDxfId="4" totalsRowDxfId="3" dataCellStyle="Moeda" totalsRowCellStyle="Moeda"/>
    <tableColumn id="12" xr3:uid="{2B04ABC8-DE6F-426E-ADC0-D8AFC68CA58E}" name="Total Value" totalsRowFunction="sum" dataDxfId="2" totalsRowDxfId="1" dataCellStyle="Moeda" totalsRow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E5" sqref="E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312</v>
      </c>
      <c r="C5" t="s">
        <v>4</v>
      </c>
      <c r="E5" s="7" t="s">
        <v>2</v>
      </c>
      <c r="F5" t="s">
        <v>3</v>
      </c>
    </row>
    <row r="6" spans="2:16">
      <c r="B6" s="4" t="s">
        <v>311</v>
      </c>
      <c r="C6" t="s">
        <v>4</v>
      </c>
    </row>
    <row r="7" spans="2:16">
      <c r="B7" s="5" t="s">
        <v>310</v>
      </c>
      <c r="C7" t="s">
        <v>5</v>
      </c>
    </row>
    <row r="8" spans="2:16">
      <c r="B8" s="6" t="s">
        <v>309</v>
      </c>
      <c r="C8" t="s">
        <v>5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6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7"/>
  <sheetViews>
    <sheetView topLeftCell="A2" zoomScale="90" zoomScaleNormal="90" workbookViewId="0">
      <selection sqref="A1:M297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22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308</v>
      </c>
      <c r="G1" s="9" t="s">
        <v>12</v>
      </c>
      <c r="H1" s="9" t="s">
        <v>305</v>
      </c>
      <c r="I1" s="9" t="s">
        <v>306</v>
      </c>
      <c r="J1" s="9" t="s">
        <v>26</v>
      </c>
      <c r="K1" s="9" t="s">
        <v>27</v>
      </c>
      <c r="L1" s="9" t="s">
        <v>28</v>
      </c>
      <c r="M1" s="9" t="s">
        <v>29</v>
      </c>
    </row>
    <row r="2" spans="1:13" ht="16.5" customHeight="1">
      <c r="A2" s="8">
        <v>3231</v>
      </c>
      <c r="B2" s="8" t="s">
        <v>13</v>
      </c>
      <c r="C2" s="8" t="s">
        <v>14</v>
      </c>
      <c r="D2" s="10">
        <v>45292</v>
      </c>
      <c r="E2" s="8" t="s">
        <v>15</v>
      </c>
      <c r="F2" s="11">
        <v>15</v>
      </c>
      <c r="G2" s="8" t="s">
        <v>16</v>
      </c>
      <c r="H2" s="8" t="s">
        <v>15</v>
      </c>
      <c r="I2" s="11">
        <v>30</v>
      </c>
      <c r="J2" s="8" t="s">
        <v>15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17</v>
      </c>
      <c r="C3" s="8" t="s">
        <v>18</v>
      </c>
      <c r="D3" s="10">
        <v>45306</v>
      </c>
      <c r="E3" s="8" t="s">
        <v>19</v>
      </c>
      <c r="F3" s="11">
        <v>5</v>
      </c>
      <c r="G3" s="8" t="s">
        <v>20</v>
      </c>
      <c r="H3" s="8" t="s">
        <v>19</v>
      </c>
      <c r="I3" s="11" t="s">
        <v>307</v>
      </c>
      <c r="J3" s="8" t="s">
        <v>19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21</v>
      </c>
      <c r="C4" s="8" t="s">
        <v>22</v>
      </c>
      <c r="D4" s="10">
        <v>45332</v>
      </c>
      <c r="E4" s="8" t="s">
        <v>15</v>
      </c>
      <c r="F4" s="11">
        <v>10</v>
      </c>
      <c r="G4" s="8" t="s">
        <v>23</v>
      </c>
      <c r="H4" s="8" t="s">
        <v>19</v>
      </c>
      <c r="I4" s="11" t="s">
        <v>307</v>
      </c>
      <c r="J4" s="8" t="s">
        <v>15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24</v>
      </c>
      <c r="C5" s="8" t="s">
        <v>14</v>
      </c>
      <c r="D5" s="10">
        <v>45342</v>
      </c>
      <c r="E5" s="8" t="s">
        <v>19</v>
      </c>
      <c r="F5" s="11">
        <v>15</v>
      </c>
      <c r="G5" s="8" t="s">
        <v>16</v>
      </c>
      <c r="H5" s="8" t="s">
        <v>15</v>
      </c>
      <c r="I5" s="11">
        <v>30</v>
      </c>
      <c r="J5" s="8" t="s">
        <v>15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25</v>
      </c>
      <c r="C6" s="8" t="s">
        <v>18</v>
      </c>
      <c r="D6" s="10">
        <v>45356</v>
      </c>
      <c r="E6" s="8" t="s">
        <v>15</v>
      </c>
      <c r="F6" s="11">
        <v>5</v>
      </c>
      <c r="G6" s="8" t="s">
        <v>16</v>
      </c>
      <c r="H6" s="8" t="s">
        <v>19</v>
      </c>
      <c r="I6" s="11" t="s">
        <v>307</v>
      </c>
      <c r="J6" s="8" t="s">
        <v>19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30</v>
      </c>
      <c r="C7" s="8" t="s">
        <v>22</v>
      </c>
      <c r="D7" s="10">
        <v>45353</v>
      </c>
      <c r="E7" s="8" t="s">
        <v>19</v>
      </c>
      <c r="F7" s="11">
        <v>10</v>
      </c>
      <c r="G7" s="8" t="s">
        <v>16</v>
      </c>
      <c r="H7" s="8" t="s">
        <v>19</v>
      </c>
      <c r="I7" s="11" t="s">
        <v>307</v>
      </c>
      <c r="J7" s="8" t="s">
        <v>15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31</v>
      </c>
      <c r="C8" s="8" t="s">
        <v>14</v>
      </c>
      <c r="D8" s="10">
        <v>45354</v>
      </c>
      <c r="E8" s="8" t="s">
        <v>15</v>
      </c>
      <c r="F8" s="11">
        <v>15</v>
      </c>
      <c r="G8" s="8" t="s">
        <v>23</v>
      </c>
      <c r="H8" s="8" t="s">
        <v>15</v>
      </c>
      <c r="I8" s="11">
        <v>30</v>
      </c>
      <c r="J8" s="8" t="s">
        <v>15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32</v>
      </c>
      <c r="C9" s="8" t="s">
        <v>18</v>
      </c>
      <c r="D9" s="10">
        <v>45355</v>
      </c>
      <c r="E9" s="8" t="s">
        <v>15</v>
      </c>
      <c r="F9" s="11">
        <v>5</v>
      </c>
      <c r="G9" s="8" t="s">
        <v>20</v>
      </c>
      <c r="H9" s="8" t="s">
        <v>19</v>
      </c>
      <c r="I9" s="11" t="s">
        <v>307</v>
      </c>
      <c r="J9" s="8" t="s">
        <v>19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33</v>
      </c>
      <c r="C10" s="8" t="s">
        <v>14</v>
      </c>
      <c r="D10" s="10">
        <v>45356</v>
      </c>
      <c r="E10" s="8" t="s">
        <v>19</v>
      </c>
      <c r="F10" s="11">
        <v>15</v>
      </c>
      <c r="G10" s="8" t="s">
        <v>16</v>
      </c>
      <c r="H10" s="8" t="s">
        <v>15</v>
      </c>
      <c r="I10" s="11">
        <v>30</v>
      </c>
      <c r="J10" s="8" t="s">
        <v>15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34</v>
      </c>
      <c r="C11" s="8" t="s">
        <v>22</v>
      </c>
      <c r="D11" s="10">
        <v>45357</v>
      </c>
      <c r="E11" s="8" t="s">
        <v>15</v>
      </c>
      <c r="F11" s="11">
        <v>10</v>
      </c>
      <c r="G11" s="8" t="s">
        <v>23</v>
      </c>
      <c r="H11" s="8" t="s">
        <v>19</v>
      </c>
      <c r="I11" s="11" t="s">
        <v>307</v>
      </c>
      <c r="J11" s="8" t="s">
        <v>15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35</v>
      </c>
      <c r="C12" s="8" t="s">
        <v>18</v>
      </c>
      <c r="D12" s="10">
        <v>45358</v>
      </c>
      <c r="E12" s="8" t="s">
        <v>19</v>
      </c>
      <c r="F12" s="11">
        <v>5</v>
      </c>
      <c r="G12" s="8" t="s">
        <v>16</v>
      </c>
      <c r="H12" s="8" t="s">
        <v>19</v>
      </c>
      <c r="I12" s="11" t="s">
        <v>307</v>
      </c>
      <c r="J12" s="8" t="s">
        <v>19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36</v>
      </c>
      <c r="C13" s="8" t="s">
        <v>14</v>
      </c>
      <c r="D13" s="10">
        <v>45359</v>
      </c>
      <c r="E13" s="8" t="s">
        <v>15</v>
      </c>
      <c r="F13" s="11">
        <v>15</v>
      </c>
      <c r="G13" s="8" t="s">
        <v>20</v>
      </c>
      <c r="H13" s="8" t="s">
        <v>15</v>
      </c>
      <c r="I13" s="11">
        <v>30</v>
      </c>
      <c r="J13" s="8" t="s">
        <v>15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37</v>
      </c>
      <c r="C14" s="8" t="s">
        <v>22</v>
      </c>
      <c r="D14" s="10">
        <v>45360</v>
      </c>
      <c r="E14" s="8" t="s">
        <v>19</v>
      </c>
      <c r="F14" s="11">
        <v>10</v>
      </c>
      <c r="G14" s="8" t="s">
        <v>16</v>
      </c>
      <c r="H14" s="8" t="s">
        <v>19</v>
      </c>
      <c r="I14" s="11" t="s">
        <v>307</v>
      </c>
      <c r="J14" s="8" t="s">
        <v>15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38</v>
      </c>
      <c r="C15" s="8" t="s">
        <v>18</v>
      </c>
      <c r="D15" s="10">
        <v>45361</v>
      </c>
      <c r="E15" s="8" t="s">
        <v>15</v>
      </c>
      <c r="F15" s="11">
        <v>5</v>
      </c>
      <c r="G15" s="8" t="s">
        <v>23</v>
      </c>
      <c r="H15" s="8" t="s">
        <v>19</v>
      </c>
      <c r="I15" s="11" t="s">
        <v>307</v>
      </c>
      <c r="J15" s="8" t="s">
        <v>19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39</v>
      </c>
      <c r="C16" s="8" t="s">
        <v>14</v>
      </c>
      <c r="D16" s="10">
        <v>45362</v>
      </c>
      <c r="E16" s="8" t="s">
        <v>19</v>
      </c>
      <c r="F16" s="11">
        <v>15</v>
      </c>
      <c r="G16" s="8" t="s">
        <v>16</v>
      </c>
      <c r="H16" s="8" t="s">
        <v>15</v>
      </c>
      <c r="I16" s="11">
        <v>30</v>
      </c>
      <c r="J16" s="8" t="s">
        <v>15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40</v>
      </c>
      <c r="C17" s="8" t="s">
        <v>22</v>
      </c>
      <c r="D17" s="10">
        <v>45363</v>
      </c>
      <c r="E17" s="8" t="s">
        <v>15</v>
      </c>
      <c r="F17" s="11">
        <v>10</v>
      </c>
      <c r="G17" s="8" t="s">
        <v>20</v>
      </c>
      <c r="H17" s="8" t="s">
        <v>19</v>
      </c>
      <c r="I17" s="11" t="s">
        <v>307</v>
      </c>
      <c r="J17" s="8" t="s">
        <v>15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41</v>
      </c>
      <c r="C18" s="8" t="s">
        <v>18</v>
      </c>
      <c r="D18" s="10">
        <v>45364</v>
      </c>
      <c r="E18" s="8" t="s">
        <v>19</v>
      </c>
      <c r="F18" s="11">
        <v>5</v>
      </c>
      <c r="G18" s="8" t="s">
        <v>16</v>
      </c>
      <c r="H18" s="8" t="s">
        <v>19</v>
      </c>
      <c r="I18" s="11" t="s">
        <v>307</v>
      </c>
      <c r="J18" s="8" t="s">
        <v>19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42</v>
      </c>
      <c r="C19" s="8" t="s">
        <v>14</v>
      </c>
      <c r="D19" s="10">
        <v>45365</v>
      </c>
      <c r="E19" s="8" t="s">
        <v>15</v>
      </c>
      <c r="F19" s="11">
        <v>15</v>
      </c>
      <c r="G19" s="8" t="s">
        <v>23</v>
      </c>
      <c r="H19" s="8" t="s">
        <v>15</v>
      </c>
      <c r="I19" s="11">
        <v>30</v>
      </c>
      <c r="J19" s="8" t="s">
        <v>15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43</v>
      </c>
      <c r="C20" s="8" t="s">
        <v>22</v>
      </c>
      <c r="D20" s="10">
        <v>45366</v>
      </c>
      <c r="E20" s="8" t="s">
        <v>19</v>
      </c>
      <c r="F20" s="11">
        <v>10</v>
      </c>
      <c r="G20" s="8" t="s">
        <v>16</v>
      </c>
      <c r="H20" s="8" t="s">
        <v>19</v>
      </c>
      <c r="I20" s="11" t="s">
        <v>307</v>
      </c>
      <c r="J20" s="8" t="s">
        <v>15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44</v>
      </c>
      <c r="C21" s="8" t="s">
        <v>18</v>
      </c>
      <c r="D21" s="10">
        <v>45367</v>
      </c>
      <c r="E21" s="8" t="s">
        <v>15</v>
      </c>
      <c r="F21" s="11">
        <v>5</v>
      </c>
      <c r="G21" s="8" t="s">
        <v>20</v>
      </c>
      <c r="H21" s="8" t="s">
        <v>19</v>
      </c>
      <c r="I21" s="11" t="s">
        <v>307</v>
      </c>
      <c r="J21" s="8" t="s">
        <v>19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45</v>
      </c>
      <c r="C22" s="8" t="s">
        <v>14</v>
      </c>
      <c r="D22" s="10">
        <v>45368</v>
      </c>
      <c r="E22" s="8" t="s">
        <v>19</v>
      </c>
      <c r="F22" s="11">
        <v>15</v>
      </c>
      <c r="G22" s="8" t="s">
        <v>16</v>
      </c>
      <c r="H22" s="8" t="s">
        <v>15</v>
      </c>
      <c r="I22" s="11">
        <v>30</v>
      </c>
      <c r="J22" s="8" t="s">
        <v>15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46</v>
      </c>
      <c r="C23" s="8" t="s">
        <v>22</v>
      </c>
      <c r="D23" s="10">
        <v>45369</v>
      </c>
      <c r="E23" s="8" t="s">
        <v>15</v>
      </c>
      <c r="F23" s="11">
        <v>10</v>
      </c>
      <c r="G23" s="8" t="s">
        <v>23</v>
      </c>
      <c r="H23" s="8" t="s">
        <v>19</v>
      </c>
      <c r="I23" s="11" t="s">
        <v>307</v>
      </c>
      <c r="J23" s="8" t="s">
        <v>15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47</v>
      </c>
      <c r="C24" s="8" t="s">
        <v>18</v>
      </c>
      <c r="D24" s="10">
        <v>45370</v>
      </c>
      <c r="E24" s="8" t="s">
        <v>19</v>
      </c>
      <c r="F24" s="11">
        <v>5</v>
      </c>
      <c r="G24" s="8" t="s">
        <v>16</v>
      </c>
      <c r="H24" s="8" t="s">
        <v>19</v>
      </c>
      <c r="I24" s="11" t="s">
        <v>307</v>
      </c>
      <c r="J24" s="8" t="s">
        <v>19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48</v>
      </c>
      <c r="C25" s="8" t="s">
        <v>14</v>
      </c>
      <c r="D25" s="10">
        <v>45371</v>
      </c>
      <c r="E25" s="8" t="s">
        <v>15</v>
      </c>
      <c r="F25" s="11">
        <v>15</v>
      </c>
      <c r="G25" s="8" t="s">
        <v>20</v>
      </c>
      <c r="H25" s="8" t="s">
        <v>15</v>
      </c>
      <c r="I25" s="11">
        <v>30</v>
      </c>
      <c r="J25" s="8" t="s">
        <v>15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49</v>
      </c>
      <c r="C26" s="8" t="s">
        <v>22</v>
      </c>
      <c r="D26" s="10">
        <v>45372</v>
      </c>
      <c r="E26" s="8" t="s">
        <v>19</v>
      </c>
      <c r="F26" s="11">
        <v>10</v>
      </c>
      <c r="G26" s="8" t="s">
        <v>16</v>
      </c>
      <c r="H26" s="8" t="s">
        <v>19</v>
      </c>
      <c r="I26" s="11" t="s">
        <v>307</v>
      </c>
      <c r="J26" s="8" t="s">
        <v>15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50</v>
      </c>
      <c r="C27" s="8" t="s">
        <v>18</v>
      </c>
      <c r="D27" s="10">
        <v>45373</v>
      </c>
      <c r="E27" s="8" t="s">
        <v>15</v>
      </c>
      <c r="F27" s="11">
        <v>5</v>
      </c>
      <c r="G27" s="8" t="s">
        <v>23</v>
      </c>
      <c r="H27" s="8" t="s">
        <v>19</v>
      </c>
      <c r="I27" s="11" t="s">
        <v>307</v>
      </c>
      <c r="J27" s="8" t="s">
        <v>19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51</v>
      </c>
      <c r="C28" s="8" t="s">
        <v>14</v>
      </c>
      <c r="D28" s="10">
        <v>45374</v>
      </c>
      <c r="E28" s="8" t="s">
        <v>19</v>
      </c>
      <c r="F28" s="11">
        <v>15</v>
      </c>
      <c r="G28" s="8" t="s">
        <v>16</v>
      </c>
      <c r="H28" s="8" t="s">
        <v>15</v>
      </c>
      <c r="I28" s="11">
        <v>30</v>
      </c>
      <c r="J28" s="8" t="s">
        <v>15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52</v>
      </c>
      <c r="C29" s="8" t="s">
        <v>22</v>
      </c>
      <c r="D29" s="10">
        <v>45375</v>
      </c>
      <c r="E29" s="8" t="s">
        <v>15</v>
      </c>
      <c r="F29" s="11">
        <v>10</v>
      </c>
      <c r="G29" s="8" t="s">
        <v>20</v>
      </c>
      <c r="H29" s="8" t="s">
        <v>19</v>
      </c>
      <c r="I29" s="11" t="s">
        <v>307</v>
      </c>
      <c r="J29" s="8" t="s">
        <v>15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53</v>
      </c>
      <c r="C30" s="8" t="s">
        <v>18</v>
      </c>
      <c r="D30" s="10">
        <v>45376</v>
      </c>
      <c r="E30" s="8" t="s">
        <v>19</v>
      </c>
      <c r="F30" s="11">
        <v>5</v>
      </c>
      <c r="G30" s="8" t="s">
        <v>16</v>
      </c>
      <c r="H30" s="8" t="s">
        <v>19</v>
      </c>
      <c r="I30" s="11" t="s">
        <v>307</v>
      </c>
      <c r="J30" s="8" t="s">
        <v>19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54</v>
      </c>
      <c r="C31" s="8" t="s">
        <v>14</v>
      </c>
      <c r="D31" s="10">
        <v>45377</v>
      </c>
      <c r="E31" s="8" t="s">
        <v>15</v>
      </c>
      <c r="F31" s="11">
        <v>15</v>
      </c>
      <c r="G31" s="8" t="s">
        <v>23</v>
      </c>
      <c r="H31" s="8" t="s">
        <v>15</v>
      </c>
      <c r="I31" s="11">
        <v>30</v>
      </c>
      <c r="J31" s="8" t="s">
        <v>15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55</v>
      </c>
      <c r="C32" s="8" t="s">
        <v>22</v>
      </c>
      <c r="D32" s="10">
        <v>45378</v>
      </c>
      <c r="E32" s="8" t="s">
        <v>19</v>
      </c>
      <c r="F32" s="11">
        <v>10</v>
      </c>
      <c r="G32" s="8" t="s">
        <v>16</v>
      </c>
      <c r="H32" s="8" t="s">
        <v>19</v>
      </c>
      <c r="I32" s="11" t="s">
        <v>307</v>
      </c>
      <c r="J32" s="8" t="s">
        <v>15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56</v>
      </c>
      <c r="C33" s="8" t="s">
        <v>18</v>
      </c>
      <c r="D33" s="10">
        <v>45379</v>
      </c>
      <c r="E33" s="8" t="s">
        <v>15</v>
      </c>
      <c r="F33" s="11">
        <v>5</v>
      </c>
      <c r="G33" s="8" t="s">
        <v>20</v>
      </c>
      <c r="H33" s="8" t="s">
        <v>19</v>
      </c>
      <c r="I33" s="11" t="s">
        <v>307</v>
      </c>
      <c r="J33" s="8" t="s">
        <v>19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57</v>
      </c>
      <c r="C34" s="8" t="s">
        <v>14</v>
      </c>
      <c r="D34" s="10">
        <v>45380</v>
      </c>
      <c r="E34" s="8" t="s">
        <v>19</v>
      </c>
      <c r="F34" s="11">
        <v>15</v>
      </c>
      <c r="G34" s="8" t="s">
        <v>16</v>
      </c>
      <c r="H34" s="8" t="s">
        <v>15</v>
      </c>
      <c r="I34" s="11">
        <v>30</v>
      </c>
      <c r="J34" s="8" t="s">
        <v>15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58</v>
      </c>
      <c r="C35" s="8" t="s">
        <v>22</v>
      </c>
      <c r="D35" s="10">
        <v>45381</v>
      </c>
      <c r="E35" s="8" t="s">
        <v>15</v>
      </c>
      <c r="F35" s="11">
        <v>10</v>
      </c>
      <c r="G35" s="8" t="s">
        <v>23</v>
      </c>
      <c r="H35" s="8" t="s">
        <v>19</v>
      </c>
      <c r="I35" s="11" t="s">
        <v>307</v>
      </c>
      <c r="J35" s="8" t="s">
        <v>15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59</v>
      </c>
      <c r="C36" s="8" t="s">
        <v>18</v>
      </c>
      <c r="D36" s="10">
        <v>45382</v>
      </c>
      <c r="E36" s="8" t="s">
        <v>19</v>
      </c>
      <c r="F36" s="11">
        <v>5</v>
      </c>
      <c r="G36" s="8" t="s">
        <v>16</v>
      </c>
      <c r="H36" s="8" t="s">
        <v>19</v>
      </c>
      <c r="I36" s="11" t="s">
        <v>307</v>
      </c>
      <c r="J36" s="8" t="s">
        <v>19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60</v>
      </c>
      <c r="C37" s="8" t="s">
        <v>18</v>
      </c>
      <c r="D37" s="10">
        <v>45383</v>
      </c>
      <c r="E37" s="8" t="s">
        <v>15</v>
      </c>
      <c r="F37" s="11">
        <v>5</v>
      </c>
      <c r="G37" s="8" t="s">
        <v>16</v>
      </c>
      <c r="H37" s="8" t="s">
        <v>19</v>
      </c>
      <c r="I37" s="11" t="s">
        <v>307</v>
      </c>
      <c r="J37" s="8" t="s">
        <v>19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61</v>
      </c>
      <c r="C38" s="8" t="s">
        <v>14</v>
      </c>
      <c r="D38" s="10">
        <v>45384</v>
      </c>
      <c r="E38" s="8" t="s">
        <v>19</v>
      </c>
      <c r="F38" s="11">
        <v>15</v>
      </c>
      <c r="G38" s="8" t="s">
        <v>23</v>
      </c>
      <c r="H38" s="8" t="s">
        <v>15</v>
      </c>
      <c r="I38" s="11">
        <v>30</v>
      </c>
      <c r="J38" s="8" t="s">
        <v>15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62</v>
      </c>
      <c r="C39" s="8" t="s">
        <v>22</v>
      </c>
      <c r="D39" s="10">
        <v>45385</v>
      </c>
      <c r="E39" s="8" t="s">
        <v>15</v>
      </c>
      <c r="F39" s="11">
        <v>10</v>
      </c>
      <c r="G39" s="8" t="s">
        <v>20</v>
      </c>
      <c r="H39" s="8" t="s">
        <v>19</v>
      </c>
      <c r="I39" s="11" t="s">
        <v>307</v>
      </c>
      <c r="J39" s="8" t="s">
        <v>15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63</v>
      </c>
      <c r="C40" s="8" t="s">
        <v>18</v>
      </c>
      <c r="D40" s="10">
        <v>45386</v>
      </c>
      <c r="E40" s="8" t="s">
        <v>19</v>
      </c>
      <c r="F40" s="11">
        <v>5</v>
      </c>
      <c r="G40" s="8" t="s">
        <v>23</v>
      </c>
      <c r="H40" s="8" t="s">
        <v>19</v>
      </c>
      <c r="I40" s="11" t="s">
        <v>307</v>
      </c>
      <c r="J40" s="8" t="s">
        <v>19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64</v>
      </c>
      <c r="C41" s="8" t="s">
        <v>14</v>
      </c>
      <c r="D41" s="10">
        <v>45387</v>
      </c>
      <c r="E41" s="8" t="s">
        <v>15</v>
      </c>
      <c r="F41" s="11">
        <v>15</v>
      </c>
      <c r="G41" s="8" t="s">
        <v>16</v>
      </c>
      <c r="H41" s="8" t="s">
        <v>15</v>
      </c>
      <c r="I41" s="11">
        <v>30</v>
      </c>
      <c r="J41" s="8" t="s">
        <v>15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65</v>
      </c>
      <c r="C42" s="8" t="s">
        <v>22</v>
      </c>
      <c r="D42" s="10">
        <v>45388</v>
      </c>
      <c r="E42" s="8" t="s">
        <v>19</v>
      </c>
      <c r="F42" s="11">
        <v>10</v>
      </c>
      <c r="G42" s="8" t="s">
        <v>16</v>
      </c>
      <c r="H42" s="8" t="s">
        <v>19</v>
      </c>
      <c r="I42" s="11" t="s">
        <v>307</v>
      </c>
      <c r="J42" s="8" t="s">
        <v>15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66</v>
      </c>
      <c r="C43" s="8" t="s">
        <v>18</v>
      </c>
      <c r="D43" s="10">
        <v>45389</v>
      </c>
      <c r="E43" s="8" t="s">
        <v>15</v>
      </c>
      <c r="F43" s="11">
        <v>5</v>
      </c>
      <c r="G43" s="8" t="s">
        <v>20</v>
      </c>
      <c r="H43" s="8" t="s">
        <v>19</v>
      </c>
      <c r="I43" s="11" t="s">
        <v>307</v>
      </c>
      <c r="J43" s="8" t="s">
        <v>19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67</v>
      </c>
      <c r="C44" s="8" t="s">
        <v>14</v>
      </c>
      <c r="D44" s="10">
        <v>45390</v>
      </c>
      <c r="E44" s="8" t="s">
        <v>19</v>
      </c>
      <c r="F44" s="11">
        <v>15</v>
      </c>
      <c r="G44" s="8" t="s">
        <v>23</v>
      </c>
      <c r="H44" s="8" t="s">
        <v>15</v>
      </c>
      <c r="I44" s="11">
        <v>30</v>
      </c>
      <c r="J44" s="8" t="s">
        <v>15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68</v>
      </c>
      <c r="C45" s="8" t="s">
        <v>22</v>
      </c>
      <c r="D45" s="10">
        <v>45391</v>
      </c>
      <c r="E45" s="8" t="s">
        <v>15</v>
      </c>
      <c r="F45" s="11">
        <v>10</v>
      </c>
      <c r="G45" s="8" t="s">
        <v>23</v>
      </c>
      <c r="H45" s="8" t="s">
        <v>19</v>
      </c>
      <c r="I45" s="11" t="s">
        <v>307</v>
      </c>
      <c r="J45" s="8" t="s">
        <v>15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69</v>
      </c>
      <c r="C46" s="8" t="s">
        <v>18</v>
      </c>
      <c r="D46" s="10">
        <v>45392</v>
      </c>
      <c r="E46" s="8" t="s">
        <v>19</v>
      </c>
      <c r="F46" s="11">
        <v>5</v>
      </c>
      <c r="G46" s="8" t="s">
        <v>16</v>
      </c>
      <c r="H46" s="8" t="s">
        <v>19</v>
      </c>
      <c r="I46" s="11" t="s">
        <v>307</v>
      </c>
      <c r="J46" s="8" t="s">
        <v>19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70</v>
      </c>
      <c r="C47" s="8" t="s">
        <v>14</v>
      </c>
      <c r="D47" s="10">
        <v>45393</v>
      </c>
      <c r="E47" s="8" t="s">
        <v>15</v>
      </c>
      <c r="F47" s="11">
        <v>15</v>
      </c>
      <c r="G47" s="8" t="s">
        <v>20</v>
      </c>
      <c r="H47" s="8" t="s">
        <v>15</v>
      </c>
      <c r="I47" s="11">
        <v>30</v>
      </c>
      <c r="J47" s="8" t="s">
        <v>15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71</v>
      </c>
      <c r="C48" s="8" t="s">
        <v>22</v>
      </c>
      <c r="D48" s="10">
        <v>45394</v>
      </c>
      <c r="E48" s="8" t="s">
        <v>19</v>
      </c>
      <c r="F48" s="11">
        <v>10</v>
      </c>
      <c r="G48" s="8" t="s">
        <v>16</v>
      </c>
      <c r="H48" s="8" t="s">
        <v>19</v>
      </c>
      <c r="I48" s="11" t="s">
        <v>307</v>
      </c>
      <c r="J48" s="8" t="s">
        <v>15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72</v>
      </c>
      <c r="C49" s="8" t="s">
        <v>18</v>
      </c>
      <c r="D49" s="10">
        <v>45395</v>
      </c>
      <c r="E49" s="8" t="s">
        <v>15</v>
      </c>
      <c r="F49" s="11">
        <v>5</v>
      </c>
      <c r="G49" s="8" t="s">
        <v>23</v>
      </c>
      <c r="H49" s="8" t="s">
        <v>19</v>
      </c>
      <c r="I49" s="11" t="s">
        <v>307</v>
      </c>
      <c r="J49" s="8" t="s">
        <v>19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73</v>
      </c>
      <c r="C50" s="8" t="s">
        <v>14</v>
      </c>
      <c r="D50" s="10">
        <v>45396</v>
      </c>
      <c r="E50" s="8" t="s">
        <v>19</v>
      </c>
      <c r="F50" s="11">
        <v>15</v>
      </c>
      <c r="G50" s="8" t="s">
        <v>16</v>
      </c>
      <c r="H50" s="8" t="s">
        <v>15</v>
      </c>
      <c r="I50" s="11">
        <v>30</v>
      </c>
      <c r="J50" s="8" t="s">
        <v>15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74</v>
      </c>
      <c r="C51" s="8" t="s">
        <v>22</v>
      </c>
      <c r="D51" s="10">
        <v>45397</v>
      </c>
      <c r="E51" s="8" t="s">
        <v>15</v>
      </c>
      <c r="F51" s="11">
        <v>10</v>
      </c>
      <c r="G51" s="8" t="s">
        <v>20</v>
      </c>
      <c r="H51" s="8" t="s">
        <v>19</v>
      </c>
      <c r="I51" s="11" t="s">
        <v>307</v>
      </c>
      <c r="J51" s="8" t="s">
        <v>15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75</v>
      </c>
      <c r="C52" s="8" t="s">
        <v>18</v>
      </c>
      <c r="D52" s="10">
        <v>45398</v>
      </c>
      <c r="E52" s="8" t="s">
        <v>19</v>
      </c>
      <c r="F52" s="11">
        <v>5</v>
      </c>
      <c r="G52" s="8" t="s">
        <v>16</v>
      </c>
      <c r="H52" s="8" t="s">
        <v>19</v>
      </c>
      <c r="I52" s="11" t="s">
        <v>307</v>
      </c>
      <c r="J52" s="8" t="s">
        <v>19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76</v>
      </c>
      <c r="C53" s="8" t="s">
        <v>14</v>
      </c>
      <c r="D53" s="10">
        <v>45399</v>
      </c>
      <c r="E53" s="8" t="s">
        <v>15</v>
      </c>
      <c r="F53" s="11">
        <v>15</v>
      </c>
      <c r="G53" s="8" t="s">
        <v>23</v>
      </c>
      <c r="H53" s="8" t="s">
        <v>15</v>
      </c>
      <c r="I53" s="11">
        <v>30</v>
      </c>
      <c r="J53" s="8" t="s">
        <v>15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77</v>
      </c>
      <c r="C54" s="8" t="s">
        <v>22</v>
      </c>
      <c r="D54" s="10">
        <v>45400</v>
      </c>
      <c r="E54" s="8" t="s">
        <v>19</v>
      </c>
      <c r="F54" s="11">
        <v>10</v>
      </c>
      <c r="G54" s="8" t="s">
        <v>16</v>
      </c>
      <c r="H54" s="8" t="s">
        <v>19</v>
      </c>
      <c r="I54" s="11" t="s">
        <v>307</v>
      </c>
      <c r="J54" s="8" t="s">
        <v>15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78</v>
      </c>
      <c r="C55" s="8" t="s">
        <v>18</v>
      </c>
      <c r="D55" s="10">
        <v>45401</v>
      </c>
      <c r="E55" s="8" t="s">
        <v>15</v>
      </c>
      <c r="F55" s="11">
        <v>5</v>
      </c>
      <c r="G55" s="8" t="s">
        <v>20</v>
      </c>
      <c r="H55" s="8" t="s">
        <v>19</v>
      </c>
      <c r="I55" s="11" t="s">
        <v>307</v>
      </c>
      <c r="J55" s="8" t="s">
        <v>19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79</v>
      </c>
      <c r="C56" s="8" t="s">
        <v>14</v>
      </c>
      <c r="D56" s="10">
        <v>45402</v>
      </c>
      <c r="E56" s="8" t="s">
        <v>19</v>
      </c>
      <c r="F56" s="11">
        <v>15</v>
      </c>
      <c r="G56" s="8" t="s">
        <v>16</v>
      </c>
      <c r="H56" s="8" t="s">
        <v>15</v>
      </c>
      <c r="I56" s="11">
        <v>30</v>
      </c>
      <c r="J56" s="8" t="s">
        <v>15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80</v>
      </c>
      <c r="C57" s="8" t="s">
        <v>22</v>
      </c>
      <c r="D57" s="10">
        <v>45403</v>
      </c>
      <c r="E57" s="8" t="s">
        <v>15</v>
      </c>
      <c r="F57" s="11">
        <v>10</v>
      </c>
      <c r="G57" s="8" t="s">
        <v>23</v>
      </c>
      <c r="H57" s="8" t="s">
        <v>19</v>
      </c>
      <c r="I57" s="11" t="s">
        <v>307</v>
      </c>
      <c r="J57" s="8" t="s">
        <v>15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81</v>
      </c>
      <c r="C58" s="8" t="s">
        <v>18</v>
      </c>
      <c r="D58" s="10">
        <v>45404</v>
      </c>
      <c r="E58" s="8" t="s">
        <v>19</v>
      </c>
      <c r="F58" s="11">
        <v>5</v>
      </c>
      <c r="G58" s="8" t="s">
        <v>16</v>
      </c>
      <c r="H58" s="8" t="s">
        <v>19</v>
      </c>
      <c r="I58" s="11" t="s">
        <v>307</v>
      </c>
      <c r="J58" s="8" t="s">
        <v>19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82</v>
      </c>
      <c r="C59" s="8" t="s">
        <v>14</v>
      </c>
      <c r="D59" s="10">
        <v>45405</v>
      </c>
      <c r="E59" s="8" t="s">
        <v>15</v>
      </c>
      <c r="F59" s="11">
        <v>15</v>
      </c>
      <c r="G59" s="8" t="s">
        <v>20</v>
      </c>
      <c r="H59" s="8" t="s">
        <v>15</v>
      </c>
      <c r="I59" s="11">
        <v>30</v>
      </c>
      <c r="J59" s="8" t="s">
        <v>15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83</v>
      </c>
      <c r="C60" s="8" t="s">
        <v>22</v>
      </c>
      <c r="D60" s="10">
        <v>45406</v>
      </c>
      <c r="E60" s="8" t="s">
        <v>19</v>
      </c>
      <c r="F60" s="11">
        <v>10</v>
      </c>
      <c r="G60" s="8" t="s">
        <v>16</v>
      </c>
      <c r="H60" s="8" t="s">
        <v>19</v>
      </c>
      <c r="I60" s="11" t="s">
        <v>307</v>
      </c>
      <c r="J60" s="8" t="s">
        <v>15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84</v>
      </c>
      <c r="C61" s="8" t="s">
        <v>18</v>
      </c>
      <c r="D61" s="10">
        <v>45407</v>
      </c>
      <c r="E61" s="8" t="s">
        <v>15</v>
      </c>
      <c r="F61" s="11">
        <v>5</v>
      </c>
      <c r="G61" s="8" t="s">
        <v>23</v>
      </c>
      <c r="H61" s="8" t="s">
        <v>19</v>
      </c>
      <c r="I61" s="11" t="s">
        <v>307</v>
      </c>
      <c r="J61" s="8" t="s">
        <v>19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85</v>
      </c>
      <c r="C62" s="8" t="s">
        <v>14</v>
      </c>
      <c r="D62" s="10">
        <v>45408</v>
      </c>
      <c r="E62" s="8" t="s">
        <v>19</v>
      </c>
      <c r="F62" s="11">
        <v>15</v>
      </c>
      <c r="G62" s="8" t="s">
        <v>16</v>
      </c>
      <c r="H62" s="8" t="s">
        <v>15</v>
      </c>
      <c r="I62" s="11">
        <v>30</v>
      </c>
      <c r="J62" s="8" t="s">
        <v>15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86</v>
      </c>
      <c r="C63" s="8" t="s">
        <v>22</v>
      </c>
      <c r="D63" s="10">
        <v>45409</v>
      </c>
      <c r="E63" s="8" t="s">
        <v>15</v>
      </c>
      <c r="F63" s="11">
        <v>10</v>
      </c>
      <c r="G63" s="8" t="s">
        <v>20</v>
      </c>
      <c r="H63" s="8" t="s">
        <v>19</v>
      </c>
      <c r="I63" s="11" t="s">
        <v>307</v>
      </c>
      <c r="J63" s="8" t="s">
        <v>15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87</v>
      </c>
      <c r="C64" s="8" t="s">
        <v>18</v>
      </c>
      <c r="D64" s="10">
        <v>45410</v>
      </c>
      <c r="E64" s="8" t="s">
        <v>19</v>
      </c>
      <c r="F64" s="11">
        <v>5</v>
      </c>
      <c r="G64" s="8" t="s">
        <v>16</v>
      </c>
      <c r="H64" s="8" t="s">
        <v>19</v>
      </c>
      <c r="I64" s="11" t="s">
        <v>307</v>
      </c>
      <c r="J64" s="8" t="s">
        <v>19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88</v>
      </c>
      <c r="C65" s="8" t="s">
        <v>14</v>
      </c>
      <c r="D65" s="10">
        <v>45411</v>
      </c>
      <c r="E65" s="8" t="s">
        <v>15</v>
      </c>
      <c r="F65" s="11">
        <v>15</v>
      </c>
      <c r="G65" s="8" t="s">
        <v>23</v>
      </c>
      <c r="H65" s="8" t="s">
        <v>15</v>
      </c>
      <c r="I65" s="11">
        <v>30</v>
      </c>
      <c r="J65" s="8" t="s">
        <v>15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89</v>
      </c>
      <c r="C66" s="8" t="s">
        <v>22</v>
      </c>
      <c r="D66" s="10">
        <v>45412</v>
      </c>
      <c r="E66" s="8" t="s">
        <v>19</v>
      </c>
      <c r="F66" s="11">
        <v>10</v>
      </c>
      <c r="G66" s="8" t="s">
        <v>16</v>
      </c>
      <c r="H66" s="8" t="s">
        <v>19</v>
      </c>
      <c r="I66" s="11" t="s">
        <v>307</v>
      </c>
      <c r="J66" s="8" t="s">
        <v>15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90</v>
      </c>
      <c r="C67" s="8" t="s">
        <v>18</v>
      </c>
      <c r="D67" s="10">
        <v>45413</v>
      </c>
      <c r="E67" s="8" t="s">
        <v>19</v>
      </c>
      <c r="F67" s="11">
        <v>5</v>
      </c>
      <c r="G67" s="8" t="s">
        <v>16</v>
      </c>
      <c r="H67" s="8" t="s">
        <v>19</v>
      </c>
      <c r="I67" s="11" t="s">
        <v>307</v>
      </c>
      <c r="J67" s="8" t="s">
        <v>19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91</v>
      </c>
      <c r="C68" s="8" t="s">
        <v>14</v>
      </c>
      <c r="D68" s="10">
        <v>45414</v>
      </c>
      <c r="E68" s="8" t="s">
        <v>15</v>
      </c>
      <c r="F68" s="11">
        <v>15</v>
      </c>
      <c r="G68" s="8" t="s">
        <v>23</v>
      </c>
      <c r="H68" s="8" t="s">
        <v>15</v>
      </c>
      <c r="I68" s="11">
        <v>30</v>
      </c>
      <c r="J68" s="8" t="s">
        <v>15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92</v>
      </c>
      <c r="C69" s="8" t="s">
        <v>22</v>
      </c>
      <c r="D69" s="10">
        <v>45415</v>
      </c>
      <c r="E69" s="8" t="s">
        <v>19</v>
      </c>
      <c r="F69" s="11">
        <v>10</v>
      </c>
      <c r="G69" s="8" t="s">
        <v>20</v>
      </c>
      <c r="H69" s="8" t="s">
        <v>19</v>
      </c>
      <c r="I69" s="11" t="s">
        <v>307</v>
      </c>
      <c r="J69" s="8" t="s">
        <v>15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93</v>
      </c>
      <c r="C70" s="8" t="s">
        <v>18</v>
      </c>
      <c r="D70" s="10">
        <v>45416</v>
      </c>
      <c r="E70" s="8" t="s">
        <v>15</v>
      </c>
      <c r="F70" s="11">
        <v>5</v>
      </c>
      <c r="G70" s="8" t="s">
        <v>23</v>
      </c>
      <c r="H70" s="8" t="s">
        <v>19</v>
      </c>
      <c r="I70" s="11" t="s">
        <v>307</v>
      </c>
      <c r="J70" s="8" t="s">
        <v>19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94</v>
      </c>
      <c r="C71" s="8" t="s">
        <v>14</v>
      </c>
      <c r="D71" s="10">
        <v>45417</v>
      </c>
      <c r="E71" s="8" t="s">
        <v>19</v>
      </c>
      <c r="F71" s="11">
        <v>15</v>
      </c>
      <c r="G71" s="8" t="s">
        <v>16</v>
      </c>
      <c r="H71" s="8" t="s">
        <v>15</v>
      </c>
      <c r="I71" s="11">
        <v>30</v>
      </c>
      <c r="J71" s="8" t="s">
        <v>15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95</v>
      </c>
      <c r="C72" s="8" t="s">
        <v>22</v>
      </c>
      <c r="D72" s="10">
        <v>45418</v>
      </c>
      <c r="E72" s="8" t="s">
        <v>15</v>
      </c>
      <c r="F72" s="11">
        <v>10</v>
      </c>
      <c r="G72" s="8" t="s">
        <v>16</v>
      </c>
      <c r="H72" s="8" t="s">
        <v>19</v>
      </c>
      <c r="I72" s="11" t="s">
        <v>307</v>
      </c>
      <c r="J72" s="8" t="s">
        <v>15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96</v>
      </c>
      <c r="C73" s="8" t="s">
        <v>18</v>
      </c>
      <c r="D73" s="10">
        <v>45419</v>
      </c>
      <c r="E73" s="8" t="s">
        <v>19</v>
      </c>
      <c r="F73" s="11">
        <v>5</v>
      </c>
      <c r="G73" s="8" t="s">
        <v>20</v>
      </c>
      <c r="H73" s="8" t="s">
        <v>19</v>
      </c>
      <c r="I73" s="11" t="s">
        <v>307</v>
      </c>
      <c r="J73" s="8" t="s">
        <v>19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97</v>
      </c>
      <c r="C74" s="8" t="s">
        <v>14</v>
      </c>
      <c r="D74" s="10">
        <v>45420</v>
      </c>
      <c r="E74" s="8" t="s">
        <v>15</v>
      </c>
      <c r="F74" s="11">
        <v>15</v>
      </c>
      <c r="G74" s="8" t="s">
        <v>23</v>
      </c>
      <c r="H74" s="8" t="s">
        <v>15</v>
      </c>
      <c r="I74" s="11">
        <v>30</v>
      </c>
      <c r="J74" s="8" t="s">
        <v>15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98</v>
      </c>
      <c r="C75" s="8" t="s">
        <v>22</v>
      </c>
      <c r="D75" s="10">
        <v>45421</v>
      </c>
      <c r="E75" s="8" t="s">
        <v>19</v>
      </c>
      <c r="F75" s="11">
        <v>10</v>
      </c>
      <c r="G75" s="8" t="s">
        <v>23</v>
      </c>
      <c r="H75" s="8" t="s">
        <v>19</v>
      </c>
      <c r="I75" s="11" t="s">
        <v>307</v>
      </c>
      <c r="J75" s="8" t="s">
        <v>15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99</v>
      </c>
      <c r="C76" s="8" t="s">
        <v>18</v>
      </c>
      <c r="D76" s="10">
        <v>45422</v>
      </c>
      <c r="E76" s="8" t="s">
        <v>15</v>
      </c>
      <c r="F76" s="11">
        <v>5</v>
      </c>
      <c r="G76" s="8" t="s">
        <v>16</v>
      </c>
      <c r="H76" s="8" t="s">
        <v>19</v>
      </c>
      <c r="I76" s="11" t="s">
        <v>307</v>
      </c>
      <c r="J76" s="8" t="s">
        <v>19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100</v>
      </c>
      <c r="C77" s="8" t="s">
        <v>14</v>
      </c>
      <c r="D77" s="10">
        <v>45423</v>
      </c>
      <c r="E77" s="8" t="s">
        <v>19</v>
      </c>
      <c r="F77" s="11">
        <v>15</v>
      </c>
      <c r="G77" s="8" t="s">
        <v>20</v>
      </c>
      <c r="H77" s="8" t="s">
        <v>15</v>
      </c>
      <c r="I77" s="11">
        <v>30</v>
      </c>
      <c r="J77" s="8" t="s">
        <v>15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101</v>
      </c>
      <c r="C78" s="8" t="s">
        <v>22</v>
      </c>
      <c r="D78" s="10">
        <v>45424</v>
      </c>
      <c r="E78" s="8" t="s">
        <v>15</v>
      </c>
      <c r="F78" s="11">
        <v>10</v>
      </c>
      <c r="G78" s="8" t="s">
        <v>16</v>
      </c>
      <c r="H78" s="8" t="s">
        <v>19</v>
      </c>
      <c r="I78" s="11" t="s">
        <v>307</v>
      </c>
      <c r="J78" s="8" t="s">
        <v>15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102</v>
      </c>
      <c r="C79" s="8" t="s">
        <v>18</v>
      </c>
      <c r="D79" s="10">
        <v>45425</v>
      </c>
      <c r="E79" s="8" t="s">
        <v>19</v>
      </c>
      <c r="F79" s="11">
        <v>5</v>
      </c>
      <c r="G79" s="8" t="s">
        <v>23</v>
      </c>
      <c r="H79" s="8" t="s">
        <v>19</v>
      </c>
      <c r="I79" s="11" t="s">
        <v>307</v>
      </c>
      <c r="J79" s="8" t="s">
        <v>19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103</v>
      </c>
      <c r="C80" s="8" t="s">
        <v>14</v>
      </c>
      <c r="D80" s="10">
        <v>45426</v>
      </c>
      <c r="E80" s="8" t="s">
        <v>15</v>
      </c>
      <c r="F80" s="11">
        <v>15</v>
      </c>
      <c r="G80" s="8" t="s">
        <v>16</v>
      </c>
      <c r="H80" s="8" t="s">
        <v>15</v>
      </c>
      <c r="I80" s="11">
        <v>30</v>
      </c>
      <c r="J80" s="8" t="s">
        <v>15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104</v>
      </c>
      <c r="C81" s="8" t="s">
        <v>22</v>
      </c>
      <c r="D81" s="10">
        <v>45427</v>
      </c>
      <c r="E81" s="8" t="s">
        <v>19</v>
      </c>
      <c r="F81" s="11">
        <v>10</v>
      </c>
      <c r="G81" s="8" t="s">
        <v>20</v>
      </c>
      <c r="H81" s="8" t="s">
        <v>19</v>
      </c>
      <c r="I81" s="11" t="s">
        <v>307</v>
      </c>
      <c r="J81" s="8" t="s">
        <v>15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105</v>
      </c>
      <c r="C82" s="8" t="s">
        <v>18</v>
      </c>
      <c r="D82" s="10">
        <v>45428</v>
      </c>
      <c r="E82" s="8" t="s">
        <v>15</v>
      </c>
      <c r="F82" s="11">
        <v>5</v>
      </c>
      <c r="G82" s="8" t="s">
        <v>16</v>
      </c>
      <c r="H82" s="8" t="s">
        <v>19</v>
      </c>
      <c r="I82" s="11" t="s">
        <v>307</v>
      </c>
      <c r="J82" s="8" t="s">
        <v>19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106</v>
      </c>
      <c r="C83" s="8" t="s">
        <v>14</v>
      </c>
      <c r="D83" s="10">
        <v>45429</v>
      </c>
      <c r="E83" s="8" t="s">
        <v>19</v>
      </c>
      <c r="F83" s="11">
        <v>15</v>
      </c>
      <c r="G83" s="8" t="s">
        <v>23</v>
      </c>
      <c r="H83" s="8" t="s">
        <v>15</v>
      </c>
      <c r="I83" s="11">
        <v>30</v>
      </c>
      <c r="J83" s="8" t="s">
        <v>15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107</v>
      </c>
      <c r="C84" s="8" t="s">
        <v>22</v>
      </c>
      <c r="D84" s="10">
        <v>45430</v>
      </c>
      <c r="E84" s="8" t="s">
        <v>15</v>
      </c>
      <c r="F84" s="11">
        <v>10</v>
      </c>
      <c r="G84" s="8" t="s">
        <v>16</v>
      </c>
      <c r="H84" s="8" t="s">
        <v>19</v>
      </c>
      <c r="I84" s="11" t="s">
        <v>307</v>
      </c>
      <c r="J84" s="8" t="s">
        <v>15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108</v>
      </c>
      <c r="C85" s="8" t="s">
        <v>18</v>
      </c>
      <c r="D85" s="10">
        <v>45431</v>
      </c>
      <c r="E85" s="8" t="s">
        <v>19</v>
      </c>
      <c r="F85" s="11">
        <v>5</v>
      </c>
      <c r="G85" s="8" t="s">
        <v>20</v>
      </c>
      <c r="H85" s="8" t="s">
        <v>19</v>
      </c>
      <c r="I85" s="11" t="s">
        <v>307</v>
      </c>
      <c r="J85" s="8" t="s">
        <v>19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109</v>
      </c>
      <c r="C86" s="8" t="s">
        <v>14</v>
      </c>
      <c r="D86" s="10">
        <v>45432</v>
      </c>
      <c r="E86" s="8" t="s">
        <v>15</v>
      </c>
      <c r="F86" s="11">
        <v>15</v>
      </c>
      <c r="G86" s="8" t="s">
        <v>16</v>
      </c>
      <c r="H86" s="8" t="s">
        <v>15</v>
      </c>
      <c r="I86" s="11">
        <v>30</v>
      </c>
      <c r="J86" s="8" t="s">
        <v>15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110</v>
      </c>
      <c r="C87" s="8" t="s">
        <v>22</v>
      </c>
      <c r="D87" s="10">
        <v>45433</v>
      </c>
      <c r="E87" s="8" t="s">
        <v>19</v>
      </c>
      <c r="F87" s="11">
        <v>10</v>
      </c>
      <c r="G87" s="8" t="s">
        <v>23</v>
      </c>
      <c r="H87" s="8" t="s">
        <v>19</v>
      </c>
      <c r="I87" s="11" t="s">
        <v>307</v>
      </c>
      <c r="J87" s="8" t="s">
        <v>15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111</v>
      </c>
      <c r="C88" s="8" t="s">
        <v>18</v>
      </c>
      <c r="D88" s="10">
        <v>45434</v>
      </c>
      <c r="E88" s="8" t="s">
        <v>15</v>
      </c>
      <c r="F88" s="11">
        <v>5</v>
      </c>
      <c r="G88" s="8" t="s">
        <v>16</v>
      </c>
      <c r="H88" s="8" t="s">
        <v>19</v>
      </c>
      <c r="I88" s="11" t="s">
        <v>307</v>
      </c>
      <c r="J88" s="8" t="s">
        <v>19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112</v>
      </c>
      <c r="C89" s="8" t="s">
        <v>14</v>
      </c>
      <c r="D89" s="10">
        <v>45435</v>
      </c>
      <c r="E89" s="8" t="s">
        <v>19</v>
      </c>
      <c r="F89" s="11">
        <v>15</v>
      </c>
      <c r="G89" s="8" t="s">
        <v>20</v>
      </c>
      <c r="H89" s="8" t="s">
        <v>15</v>
      </c>
      <c r="I89" s="11">
        <v>30</v>
      </c>
      <c r="J89" s="8" t="s">
        <v>15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113</v>
      </c>
      <c r="C90" s="8" t="s">
        <v>22</v>
      </c>
      <c r="D90" s="10">
        <v>45436</v>
      </c>
      <c r="E90" s="8" t="s">
        <v>15</v>
      </c>
      <c r="F90" s="11">
        <v>10</v>
      </c>
      <c r="G90" s="8" t="s">
        <v>16</v>
      </c>
      <c r="H90" s="8" t="s">
        <v>19</v>
      </c>
      <c r="I90" s="11" t="s">
        <v>307</v>
      </c>
      <c r="J90" s="8" t="s">
        <v>15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114</v>
      </c>
      <c r="C91" s="8" t="s">
        <v>18</v>
      </c>
      <c r="D91" s="10">
        <v>45437</v>
      </c>
      <c r="E91" s="8" t="s">
        <v>19</v>
      </c>
      <c r="F91" s="11">
        <v>5</v>
      </c>
      <c r="G91" s="8" t="s">
        <v>23</v>
      </c>
      <c r="H91" s="8" t="s">
        <v>19</v>
      </c>
      <c r="I91" s="11" t="s">
        <v>307</v>
      </c>
      <c r="J91" s="8" t="s">
        <v>19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115</v>
      </c>
      <c r="C92" s="8" t="s">
        <v>14</v>
      </c>
      <c r="D92" s="10">
        <v>45438</v>
      </c>
      <c r="E92" s="8" t="s">
        <v>15</v>
      </c>
      <c r="F92" s="11">
        <v>15</v>
      </c>
      <c r="G92" s="8" t="s">
        <v>16</v>
      </c>
      <c r="H92" s="8" t="s">
        <v>15</v>
      </c>
      <c r="I92" s="11">
        <v>30</v>
      </c>
      <c r="J92" s="8" t="s">
        <v>15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116</v>
      </c>
      <c r="C93" s="8" t="s">
        <v>22</v>
      </c>
      <c r="D93" s="10">
        <v>45439</v>
      </c>
      <c r="E93" s="8" t="s">
        <v>19</v>
      </c>
      <c r="F93" s="11">
        <v>10</v>
      </c>
      <c r="G93" s="8" t="s">
        <v>20</v>
      </c>
      <c r="H93" s="8" t="s">
        <v>19</v>
      </c>
      <c r="I93" s="11" t="s">
        <v>307</v>
      </c>
      <c r="J93" s="8" t="s">
        <v>15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117</v>
      </c>
      <c r="C94" s="8" t="s">
        <v>18</v>
      </c>
      <c r="D94" s="10">
        <v>45440</v>
      </c>
      <c r="E94" s="8" t="s">
        <v>15</v>
      </c>
      <c r="F94" s="11">
        <v>5</v>
      </c>
      <c r="G94" s="8" t="s">
        <v>16</v>
      </c>
      <c r="H94" s="8" t="s">
        <v>19</v>
      </c>
      <c r="I94" s="11" t="s">
        <v>307</v>
      </c>
      <c r="J94" s="8" t="s">
        <v>19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118</v>
      </c>
      <c r="C95" s="8" t="s">
        <v>14</v>
      </c>
      <c r="D95" s="10">
        <v>45441</v>
      </c>
      <c r="E95" s="8" t="s">
        <v>19</v>
      </c>
      <c r="F95" s="11">
        <v>15</v>
      </c>
      <c r="G95" s="8" t="s">
        <v>23</v>
      </c>
      <c r="H95" s="8" t="s">
        <v>15</v>
      </c>
      <c r="I95" s="11">
        <v>30</v>
      </c>
      <c r="J95" s="8" t="s">
        <v>15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119</v>
      </c>
      <c r="C96" s="8" t="s">
        <v>22</v>
      </c>
      <c r="D96" s="10">
        <v>45442</v>
      </c>
      <c r="E96" s="8" t="s">
        <v>15</v>
      </c>
      <c r="F96" s="11">
        <v>10</v>
      </c>
      <c r="G96" s="8" t="s">
        <v>23</v>
      </c>
      <c r="H96" s="8" t="s">
        <v>19</v>
      </c>
      <c r="I96" s="11" t="s">
        <v>307</v>
      </c>
      <c r="J96" s="8" t="s">
        <v>15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120</v>
      </c>
      <c r="C97" s="8" t="s">
        <v>18</v>
      </c>
      <c r="D97" s="10">
        <v>45443</v>
      </c>
      <c r="E97" s="8" t="s">
        <v>19</v>
      </c>
      <c r="F97" s="11">
        <v>5</v>
      </c>
      <c r="G97" s="8" t="s">
        <v>20</v>
      </c>
      <c r="H97" s="8" t="s">
        <v>19</v>
      </c>
      <c r="I97" s="11" t="s">
        <v>307</v>
      </c>
      <c r="J97" s="8" t="s">
        <v>19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121</v>
      </c>
      <c r="C98" s="8" t="s">
        <v>14</v>
      </c>
      <c r="D98" s="10">
        <v>45444</v>
      </c>
      <c r="E98" s="8" t="s">
        <v>15</v>
      </c>
      <c r="F98" s="11">
        <v>15</v>
      </c>
      <c r="G98" s="8" t="s">
        <v>16</v>
      </c>
      <c r="H98" s="8" t="s">
        <v>15</v>
      </c>
      <c r="I98" s="11">
        <v>30</v>
      </c>
      <c r="J98" s="8" t="s">
        <v>15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122</v>
      </c>
      <c r="C99" s="8" t="s">
        <v>22</v>
      </c>
      <c r="D99" s="10">
        <v>45445</v>
      </c>
      <c r="E99" s="8" t="s">
        <v>19</v>
      </c>
      <c r="F99" s="11">
        <v>10</v>
      </c>
      <c r="G99" s="8" t="s">
        <v>20</v>
      </c>
      <c r="H99" s="8" t="s">
        <v>19</v>
      </c>
      <c r="I99" s="11" t="s">
        <v>307</v>
      </c>
      <c r="J99" s="8" t="s">
        <v>15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123</v>
      </c>
      <c r="C100" s="8" t="s">
        <v>18</v>
      </c>
      <c r="D100" s="10">
        <v>45446</v>
      </c>
      <c r="E100" s="8" t="s">
        <v>15</v>
      </c>
      <c r="F100" s="11">
        <v>5</v>
      </c>
      <c r="G100" s="8" t="s">
        <v>23</v>
      </c>
      <c r="H100" s="8" t="s">
        <v>19</v>
      </c>
      <c r="I100" s="11" t="s">
        <v>307</v>
      </c>
      <c r="J100" s="8" t="s">
        <v>19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124</v>
      </c>
      <c r="C101" s="8" t="s">
        <v>14</v>
      </c>
      <c r="D101" s="10">
        <v>45447</v>
      </c>
      <c r="E101" s="8" t="s">
        <v>19</v>
      </c>
      <c r="F101" s="11">
        <v>15</v>
      </c>
      <c r="G101" s="8" t="s">
        <v>16</v>
      </c>
      <c r="H101" s="8" t="s">
        <v>15</v>
      </c>
      <c r="I101" s="11">
        <v>30</v>
      </c>
      <c r="J101" s="8" t="s">
        <v>15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125</v>
      </c>
      <c r="C102" s="8" t="s">
        <v>22</v>
      </c>
      <c r="D102" s="10">
        <v>45448</v>
      </c>
      <c r="E102" s="8" t="s">
        <v>15</v>
      </c>
      <c r="F102" s="11">
        <v>10</v>
      </c>
      <c r="G102" s="8" t="s">
        <v>16</v>
      </c>
      <c r="H102" s="8" t="s">
        <v>19</v>
      </c>
      <c r="I102" s="11" t="s">
        <v>307</v>
      </c>
      <c r="J102" s="8" t="s">
        <v>15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126</v>
      </c>
      <c r="C103" s="8" t="s">
        <v>18</v>
      </c>
      <c r="D103" s="10">
        <v>45449</v>
      </c>
      <c r="E103" s="8" t="s">
        <v>19</v>
      </c>
      <c r="F103" s="11">
        <v>5</v>
      </c>
      <c r="G103" s="8" t="s">
        <v>20</v>
      </c>
      <c r="H103" s="8" t="s">
        <v>19</v>
      </c>
      <c r="I103" s="11" t="s">
        <v>307</v>
      </c>
      <c r="J103" s="8" t="s">
        <v>19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127</v>
      </c>
      <c r="C104" s="8" t="s">
        <v>14</v>
      </c>
      <c r="D104" s="10">
        <v>45450</v>
      </c>
      <c r="E104" s="8" t="s">
        <v>15</v>
      </c>
      <c r="F104" s="11">
        <v>15</v>
      </c>
      <c r="G104" s="8" t="s">
        <v>23</v>
      </c>
      <c r="H104" s="8" t="s">
        <v>15</v>
      </c>
      <c r="I104" s="11">
        <v>30</v>
      </c>
      <c r="J104" s="8" t="s">
        <v>15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128</v>
      </c>
      <c r="C105" s="8" t="s">
        <v>22</v>
      </c>
      <c r="D105" s="10">
        <v>45451</v>
      </c>
      <c r="E105" s="8" t="s">
        <v>19</v>
      </c>
      <c r="F105" s="11">
        <v>10</v>
      </c>
      <c r="G105" s="8" t="s">
        <v>23</v>
      </c>
      <c r="H105" s="8" t="s">
        <v>19</v>
      </c>
      <c r="I105" s="11" t="s">
        <v>307</v>
      </c>
      <c r="J105" s="8" t="s">
        <v>15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129</v>
      </c>
      <c r="C106" s="8" t="s">
        <v>18</v>
      </c>
      <c r="D106" s="10">
        <v>45452</v>
      </c>
      <c r="E106" s="8" t="s">
        <v>15</v>
      </c>
      <c r="F106" s="11">
        <v>5</v>
      </c>
      <c r="G106" s="8" t="s">
        <v>16</v>
      </c>
      <c r="H106" s="8" t="s">
        <v>19</v>
      </c>
      <c r="I106" s="11" t="s">
        <v>307</v>
      </c>
      <c r="J106" s="8" t="s">
        <v>19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130</v>
      </c>
      <c r="C107" s="8" t="s">
        <v>18</v>
      </c>
      <c r="D107" s="10">
        <v>45453</v>
      </c>
      <c r="E107" s="8" t="s">
        <v>15</v>
      </c>
      <c r="F107" s="11">
        <v>5</v>
      </c>
      <c r="G107" s="8" t="s">
        <v>16</v>
      </c>
      <c r="H107" s="8" t="s">
        <v>19</v>
      </c>
      <c r="I107" s="11" t="s">
        <v>307</v>
      </c>
      <c r="J107" s="8" t="s">
        <v>19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131</v>
      </c>
      <c r="C108" s="8" t="s">
        <v>14</v>
      </c>
      <c r="D108" s="10">
        <v>45454</v>
      </c>
      <c r="E108" s="8" t="s">
        <v>19</v>
      </c>
      <c r="F108" s="11">
        <v>15</v>
      </c>
      <c r="G108" s="8" t="s">
        <v>23</v>
      </c>
      <c r="H108" s="8" t="s">
        <v>15</v>
      </c>
      <c r="I108" s="11">
        <v>30</v>
      </c>
      <c r="J108" s="8" t="s">
        <v>15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132</v>
      </c>
      <c r="C109" s="8" t="s">
        <v>22</v>
      </c>
      <c r="D109" s="10">
        <v>45455</v>
      </c>
      <c r="E109" s="8" t="s">
        <v>15</v>
      </c>
      <c r="F109" s="11">
        <v>10</v>
      </c>
      <c r="G109" s="8" t="s">
        <v>20</v>
      </c>
      <c r="H109" s="8" t="s">
        <v>19</v>
      </c>
      <c r="I109" s="11" t="s">
        <v>307</v>
      </c>
      <c r="J109" s="8" t="s">
        <v>15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133</v>
      </c>
      <c r="C110" s="8" t="s">
        <v>18</v>
      </c>
      <c r="D110" s="10">
        <v>45456</v>
      </c>
      <c r="E110" s="8" t="s">
        <v>19</v>
      </c>
      <c r="F110" s="11">
        <v>5</v>
      </c>
      <c r="G110" s="8" t="s">
        <v>23</v>
      </c>
      <c r="H110" s="8" t="s">
        <v>19</v>
      </c>
      <c r="I110" s="11" t="s">
        <v>307</v>
      </c>
      <c r="J110" s="8" t="s">
        <v>19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134</v>
      </c>
      <c r="C111" s="8" t="s">
        <v>14</v>
      </c>
      <c r="D111" s="10">
        <v>45457</v>
      </c>
      <c r="E111" s="8" t="s">
        <v>15</v>
      </c>
      <c r="F111" s="11">
        <v>15</v>
      </c>
      <c r="G111" s="8" t="s">
        <v>16</v>
      </c>
      <c r="H111" s="8" t="s">
        <v>15</v>
      </c>
      <c r="I111" s="11">
        <v>30</v>
      </c>
      <c r="J111" s="8" t="s">
        <v>15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135</v>
      </c>
      <c r="C112" s="8" t="s">
        <v>22</v>
      </c>
      <c r="D112" s="10">
        <v>45458</v>
      </c>
      <c r="E112" s="8" t="s">
        <v>19</v>
      </c>
      <c r="F112" s="11">
        <v>10</v>
      </c>
      <c r="G112" s="8" t="s">
        <v>16</v>
      </c>
      <c r="H112" s="8" t="s">
        <v>19</v>
      </c>
      <c r="I112" s="11" t="s">
        <v>307</v>
      </c>
      <c r="J112" s="8" t="s">
        <v>15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136</v>
      </c>
      <c r="C113" s="8" t="s">
        <v>18</v>
      </c>
      <c r="D113" s="10">
        <v>45459</v>
      </c>
      <c r="E113" s="8" t="s">
        <v>15</v>
      </c>
      <c r="F113" s="11">
        <v>5</v>
      </c>
      <c r="G113" s="8" t="s">
        <v>20</v>
      </c>
      <c r="H113" s="8" t="s">
        <v>19</v>
      </c>
      <c r="I113" s="11" t="s">
        <v>307</v>
      </c>
      <c r="J113" s="8" t="s">
        <v>19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137</v>
      </c>
      <c r="C114" s="8" t="s">
        <v>14</v>
      </c>
      <c r="D114" s="10">
        <v>45460</v>
      </c>
      <c r="E114" s="8" t="s">
        <v>19</v>
      </c>
      <c r="F114" s="11">
        <v>15</v>
      </c>
      <c r="G114" s="8" t="s">
        <v>23</v>
      </c>
      <c r="H114" s="8" t="s">
        <v>15</v>
      </c>
      <c r="I114" s="11">
        <v>30</v>
      </c>
      <c r="J114" s="8" t="s">
        <v>15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138</v>
      </c>
      <c r="C115" s="8" t="s">
        <v>22</v>
      </c>
      <c r="D115" s="10">
        <v>45461</v>
      </c>
      <c r="E115" s="8" t="s">
        <v>15</v>
      </c>
      <c r="F115" s="11">
        <v>10</v>
      </c>
      <c r="G115" s="8" t="s">
        <v>23</v>
      </c>
      <c r="H115" s="8" t="s">
        <v>19</v>
      </c>
      <c r="I115" s="11" t="s">
        <v>307</v>
      </c>
      <c r="J115" s="8" t="s">
        <v>15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139</v>
      </c>
      <c r="C116" s="8" t="s">
        <v>18</v>
      </c>
      <c r="D116" s="10">
        <v>45462</v>
      </c>
      <c r="E116" s="8" t="s">
        <v>19</v>
      </c>
      <c r="F116" s="11">
        <v>5</v>
      </c>
      <c r="G116" s="8" t="s">
        <v>16</v>
      </c>
      <c r="H116" s="8" t="s">
        <v>19</v>
      </c>
      <c r="I116" s="11" t="s">
        <v>307</v>
      </c>
      <c r="J116" s="8" t="s">
        <v>19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140</v>
      </c>
      <c r="C117" s="8" t="s">
        <v>14</v>
      </c>
      <c r="D117" s="10">
        <v>45463</v>
      </c>
      <c r="E117" s="8" t="s">
        <v>15</v>
      </c>
      <c r="F117" s="11">
        <v>15</v>
      </c>
      <c r="G117" s="8" t="s">
        <v>20</v>
      </c>
      <c r="H117" s="8" t="s">
        <v>15</v>
      </c>
      <c r="I117" s="11">
        <v>30</v>
      </c>
      <c r="J117" s="8" t="s">
        <v>15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141</v>
      </c>
      <c r="C118" s="8" t="s">
        <v>22</v>
      </c>
      <c r="D118" s="10">
        <v>45464</v>
      </c>
      <c r="E118" s="8" t="s">
        <v>19</v>
      </c>
      <c r="F118" s="11">
        <v>10</v>
      </c>
      <c r="G118" s="8" t="s">
        <v>16</v>
      </c>
      <c r="H118" s="8" t="s">
        <v>19</v>
      </c>
      <c r="I118" s="11" t="s">
        <v>307</v>
      </c>
      <c r="J118" s="8" t="s">
        <v>15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142</v>
      </c>
      <c r="C119" s="8" t="s">
        <v>18</v>
      </c>
      <c r="D119" s="10">
        <v>45465</v>
      </c>
      <c r="E119" s="8" t="s">
        <v>15</v>
      </c>
      <c r="F119" s="11">
        <v>5</v>
      </c>
      <c r="G119" s="8" t="s">
        <v>23</v>
      </c>
      <c r="H119" s="8" t="s">
        <v>19</v>
      </c>
      <c r="I119" s="11" t="s">
        <v>307</v>
      </c>
      <c r="J119" s="8" t="s">
        <v>19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118</v>
      </c>
      <c r="C120" s="8" t="s">
        <v>14</v>
      </c>
      <c r="D120" s="10">
        <v>45466</v>
      </c>
      <c r="E120" s="8" t="s">
        <v>19</v>
      </c>
      <c r="F120" s="11">
        <v>15</v>
      </c>
      <c r="G120" s="8" t="s">
        <v>16</v>
      </c>
      <c r="H120" s="8" t="s">
        <v>15</v>
      </c>
      <c r="I120" s="11">
        <v>30</v>
      </c>
      <c r="J120" s="8" t="s">
        <v>15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143</v>
      </c>
      <c r="C121" s="8" t="s">
        <v>22</v>
      </c>
      <c r="D121" s="10">
        <v>45467</v>
      </c>
      <c r="E121" s="8" t="s">
        <v>15</v>
      </c>
      <c r="F121" s="11">
        <v>10</v>
      </c>
      <c r="G121" s="8" t="s">
        <v>20</v>
      </c>
      <c r="H121" s="8" t="s">
        <v>19</v>
      </c>
      <c r="I121" s="11" t="s">
        <v>307</v>
      </c>
      <c r="J121" s="8" t="s">
        <v>15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144</v>
      </c>
      <c r="C122" s="8" t="s">
        <v>18</v>
      </c>
      <c r="D122" s="10">
        <v>45468</v>
      </c>
      <c r="E122" s="8" t="s">
        <v>19</v>
      </c>
      <c r="F122" s="11">
        <v>5</v>
      </c>
      <c r="G122" s="8" t="s">
        <v>16</v>
      </c>
      <c r="H122" s="8" t="s">
        <v>19</v>
      </c>
      <c r="I122" s="11" t="s">
        <v>307</v>
      </c>
      <c r="J122" s="8" t="s">
        <v>19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145</v>
      </c>
      <c r="C123" s="8" t="s">
        <v>14</v>
      </c>
      <c r="D123" s="10">
        <v>45469</v>
      </c>
      <c r="E123" s="8" t="s">
        <v>15</v>
      </c>
      <c r="F123" s="11">
        <v>15</v>
      </c>
      <c r="G123" s="8" t="s">
        <v>23</v>
      </c>
      <c r="H123" s="8" t="s">
        <v>15</v>
      </c>
      <c r="I123" s="11">
        <v>30</v>
      </c>
      <c r="J123" s="8" t="s">
        <v>15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146</v>
      </c>
      <c r="C124" s="8" t="s">
        <v>22</v>
      </c>
      <c r="D124" s="10">
        <v>45470</v>
      </c>
      <c r="E124" s="8" t="s">
        <v>19</v>
      </c>
      <c r="F124" s="11">
        <v>10</v>
      </c>
      <c r="G124" s="8" t="s">
        <v>16</v>
      </c>
      <c r="H124" s="8" t="s">
        <v>19</v>
      </c>
      <c r="I124" s="11" t="s">
        <v>307</v>
      </c>
      <c r="J124" s="8" t="s">
        <v>15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147</v>
      </c>
      <c r="C125" s="8" t="s">
        <v>18</v>
      </c>
      <c r="D125" s="10">
        <v>45471</v>
      </c>
      <c r="E125" s="8" t="s">
        <v>15</v>
      </c>
      <c r="F125" s="11">
        <v>5</v>
      </c>
      <c r="G125" s="8" t="s">
        <v>20</v>
      </c>
      <c r="H125" s="8" t="s">
        <v>19</v>
      </c>
      <c r="I125" s="11" t="s">
        <v>307</v>
      </c>
      <c r="J125" s="8" t="s">
        <v>19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148</v>
      </c>
      <c r="C126" s="8" t="s">
        <v>14</v>
      </c>
      <c r="D126" s="10">
        <v>45472</v>
      </c>
      <c r="E126" s="8" t="s">
        <v>19</v>
      </c>
      <c r="F126" s="11">
        <v>15</v>
      </c>
      <c r="G126" s="8" t="s">
        <v>16</v>
      </c>
      <c r="H126" s="8" t="s">
        <v>15</v>
      </c>
      <c r="I126" s="11">
        <v>30</v>
      </c>
      <c r="J126" s="8" t="s">
        <v>15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149</v>
      </c>
      <c r="C127" s="8" t="s">
        <v>22</v>
      </c>
      <c r="D127" s="10">
        <v>45473</v>
      </c>
      <c r="E127" s="8" t="s">
        <v>15</v>
      </c>
      <c r="F127" s="11">
        <v>10</v>
      </c>
      <c r="G127" s="8" t="s">
        <v>23</v>
      </c>
      <c r="H127" s="8" t="s">
        <v>19</v>
      </c>
      <c r="I127" s="11" t="s">
        <v>307</v>
      </c>
      <c r="J127" s="8" t="s">
        <v>15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150</v>
      </c>
      <c r="C128" s="8" t="s">
        <v>18</v>
      </c>
      <c r="D128" s="10">
        <v>45474</v>
      </c>
      <c r="E128" s="8" t="s">
        <v>19</v>
      </c>
      <c r="F128" s="11">
        <v>5</v>
      </c>
      <c r="G128" s="8" t="s">
        <v>16</v>
      </c>
      <c r="H128" s="8" t="s">
        <v>19</v>
      </c>
      <c r="I128" s="11" t="s">
        <v>307</v>
      </c>
      <c r="J128" s="8" t="s">
        <v>19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151</v>
      </c>
      <c r="C129" s="8" t="s">
        <v>14</v>
      </c>
      <c r="D129" s="10">
        <v>45475</v>
      </c>
      <c r="E129" s="8" t="s">
        <v>15</v>
      </c>
      <c r="F129" s="11">
        <v>15</v>
      </c>
      <c r="G129" s="8" t="s">
        <v>20</v>
      </c>
      <c r="H129" s="8" t="s">
        <v>15</v>
      </c>
      <c r="I129" s="11">
        <v>30</v>
      </c>
      <c r="J129" s="8" t="s">
        <v>15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152</v>
      </c>
      <c r="C130" s="8" t="s">
        <v>22</v>
      </c>
      <c r="D130" s="10">
        <v>45476</v>
      </c>
      <c r="E130" s="8" t="s">
        <v>19</v>
      </c>
      <c r="F130" s="11">
        <v>10</v>
      </c>
      <c r="G130" s="8" t="s">
        <v>16</v>
      </c>
      <c r="H130" s="8" t="s">
        <v>19</v>
      </c>
      <c r="I130" s="11" t="s">
        <v>307</v>
      </c>
      <c r="J130" s="8" t="s">
        <v>15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153</v>
      </c>
      <c r="C131" s="8" t="s">
        <v>18</v>
      </c>
      <c r="D131" s="10">
        <v>45477</v>
      </c>
      <c r="E131" s="8" t="s">
        <v>15</v>
      </c>
      <c r="F131" s="11">
        <v>5</v>
      </c>
      <c r="G131" s="8" t="s">
        <v>23</v>
      </c>
      <c r="H131" s="8" t="s">
        <v>19</v>
      </c>
      <c r="I131" s="11" t="s">
        <v>307</v>
      </c>
      <c r="J131" s="8" t="s">
        <v>19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154</v>
      </c>
      <c r="C132" s="8" t="s">
        <v>14</v>
      </c>
      <c r="D132" s="10">
        <v>45478</v>
      </c>
      <c r="E132" s="8" t="s">
        <v>19</v>
      </c>
      <c r="F132" s="11">
        <v>15</v>
      </c>
      <c r="G132" s="8" t="s">
        <v>16</v>
      </c>
      <c r="H132" s="8" t="s">
        <v>15</v>
      </c>
      <c r="I132" s="11">
        <v>30</v>
      </c>
      <c r="J132" s="8" t="s">
        <v>15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155</v>
      </c>
      <c r="C133" s="8" t="s">
        <v>22</v>
      </c>
      <c r="D133" s="10">
        <v>45479</v>
      </c>
      <c r="E133" s="8" t="s">
        <v>15</v>
      </c>
      <c r="F133" s="11">
        <v>10</v>
      </c>
      <c r="G133" s="8" t="s">
        <v>20</v>
      </c>
      <c r="H133" s="8" t="s">
        <v>19</v>
      </c>
      <c r="I133" s="11" t="s">
        <v>307</v>
      </c>
      <c r="J133" s="8" t="s">
        <v>15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156</v>
      </c>
      <c r="C134" s="8" t="s">
        <v>18</v>
      </c>
      <c r="D134" s="10">
        <v>45480</v>
      </c>
      <c r="E134" s="8" t="s">
        <v>19</v>
      </c>
      <c r="F134" s="11">
        <v>5</v>
      </c>
      <c r="G134" s="8" t="s">
        <v>16</v>
      </c>
      <c r="H134" s="8" t="s">
        <v>19</v>
      </c>
      <c r="I134" s="11" t="s">
        <v>307</v>
      </c>
      <c r="J134" s="8" t="s">
        <v>19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157</v>
      </c>
      <c r="C135" s="8" t="s">
        <v>14</v>
      </c>
      <c r="D135" s="10">
        <v>45481</v>
      </c>
      <c r="E135" s="8" t="s">
        <v>15</v>
      </c>
      <c r="F135" s="11">
        <v>15</v>
      </c>
      <c r="G135" s="8" t="s">
        <v>23</v>
      </c>
      <c r="H135" s="8" t="s">
        <v>15</v>
      </c>
      <c r="I135" s="11">
        <v>30</v>
      </c>
      <c r="J135" s="8" t="s">
        <v>15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158</v>
      </c>
      <c r="C136" s="8" t="s">
        <v>22</v>
      </c>
      <c r="D136" s="10">
        <v>45482</v>
      </c>
      <c r="E136" s="8" t="s">
        <v>19</v>
      </c>
      <c r="F136" s="11">
        <v>10</v>
      </c>
      <c r="G136" s="8" t="s">
        <v>16</v>
      </c>
      <c r="H136" s="8" t="s">
        <v>19</v>
      </c>
      <c r="I136" s="11" t="s">
        <v>307</v>
      </c>
      <c r="J136" s="8" t="s">
        <v>15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159</v>
      </c>
      <c r="C137" s="8" t="s">
        <v>18</v>
      </c>
      <c r="D137" s="10">
        <v>45483</v>
      </c>
      <c r="E137" s="8" t="s">
        <v>15</v>
      </c>
      <c r="F137" s="11">
        <v>5</v>
      </c>
      <c r="G137" s="8" t="s">
        <v>16</v>
      </c>
      <c r="H137" s="8" t="s">
        <v>19</v>
      </c>
      <c r="I137" s="11" t="s">
        <v>307</v>
      </c>
      <c r="J137" s="8" t="s">
        <v>19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160</v>
      </c>
      <c r="C138" s="8" t="s">
        <v>14</v>
      </c>
      <c r="D138" s="10">
        <v>45484</v>
      </c>
      <c r="E138" s="8" t="s">
        <v>19</v>
      </c>
      <c r="F138" s="11">
        <v>15</v>
      </c>
      <c r="G138" s="8" t="s">
        <v>23</v>
      </c>
      <c r="H138" s="8" t="s">
        <v>15</v>
      </c>
      <c r="I138" s="11">
        <v>30</v>
      </c>
      <c r="J138" s="8" t="s">
        <v>15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161</v>
      </c>
      <c r="C139" s="8" t="s">
        <v>22</v>
      </c>
      <c r="D139" s="10">
        <v>45485</v>
      </c>
      <c r="E139" s="8" t="s">
        <v>15</v>
      </c>
      <c r="F139" s="11">
        <v>10</v>
      </c>
      <c r="G139" s="8" t="s">
        <v>20</v>
      </c>
      <c r="H139" s="8" t="s">
        <v>19</v>
      </c>
      <c r="I139" s="11" t="s">
        <v>307</v>
      </c>
      <c r="J139" s="8" t="s">
        <v>15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162</v>
      </c>
      <c r="C140" s="8" t="s">
        <v>18</v>
      </c>
      <c r="D140" s="10">
        <v>45486</v>
      </c>
      <c r="E140" s="8" t="s">
        <v>19</v>
      </c>
      <c r="F140" s="11">
        <v>5</v>
      </c>
      <c r="G140" s="8" t="s">
        <v>23</v>
      </c>
      <c r="H140" s="8" t="s">
        <v>19</v>
      </c>
      <c r="I140" s="11" t="s">
        <v>307</v>
      </c>
      <c r="J140" s="8" t="s">
        <v>19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163</v>
      </c>
      <c r="C141" s="8" t="s">
        <v>14</v>
      </c>
      <c r="D141" s="10">
        <v>45487</v>
      </c>
      <c r="E141" s="8" t="s">
        <v>15</v>
      </c>
      <c r="F141" s="11">
        <v>15</v>
      </c>
      <c r="G141" s="8" t="s">
        <v>16</v>
      </c>
      <c r="H141" s="8" t="s">
        <v>15</v>
      </c>
      <c r="I141" s="11">
        <v>30</v>
      </c>
      <c r="J141" s="8" t="s">
        <v>15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164</v>
      </c>
      <c r="C142" s="8" t="s">
        <v>22</v>
      </c>
      <c r="D142" s="10">
        <v>45488</v>
      </c>
      <c r="E142" s="8" t="s">
        <v>19</v>
      </c>
      <c r="F142" s="11">
        <v>10</v>
      </c>
      <c r="G142" s="8" t="s">
        <v>16</v>
      </c>
      <c r="H142" s="8" t="s">
        <v>19</v>
      </c>
      <c r="I142" s="11" t="s">
        <v>307</v>
      </c>
      <c r="J142" s="8" t="s">
        <v>15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165</v>
      </c>
      <c r="C143" s="8" t="s">
        <v>18</v>
      </c>
      <c r="D143" s="10">
        <v>45489</v>
      </c>
      <c r="E143" s="8" t="s">
        <v>15</v>
      </c>
      <c r="F143" s="11">
        <v>5</v>
      </c>
      <c r="G143" s="8" t="s">
        <v>20</v>
      </c>
      <c r="H143" s="8" t="s">
        <v>19</v>
      </c>
      <c r="I143" s="11" t="s">
        <v>307</v>
      </c>
      <c r="J143" s="8" t="s">
        <v>19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166</v>
      </c>
      <c r="C144" s="8" t="s">
        <v>14</v>
      </c>
      <c r="D144" s="10">
        <v>45490</v>
      </c>
      <c r="E144" s="8" t="s">
        <v>19</v>
      </c>
      <c r="F144" s="11">
        <v>15</v>
      </c>
      <c r="G144" s="8" t="s">
        <v>23</v>
      </c>
      <c r="H144" s="8" t="s">
        <v>15</v>
      </c>
      <c r="I144" s="11">
        <v>30</v>
      </c>
      <c r="J144" s="8" t="s">
        <v>15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167</v>
      </c>
      <c r="C145" s="8" t="s">
        <v>22</v>
      </c>
      <c r="D145" s="10">
        <v>45491</v>
      </c>
      <c r="E145" s="8" t="s">
        <v>15</v>
      </c>
      <c r="F145" s="11">
        <v>10</v>
      </c>
      <c r="G145" s="8" t="s">
        <v>23</v>
      </c>
      <c r="H145" s="8" t="s">
        <v>19</v>
      </c>
      <c r="I145" s="11" t="s">
        <v>307</v>
      </c>
      <c r="J145" s="8" t="s">
        <v>15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168</v>
      </c>
      <c r="C146" s="8" t="s">
        <v>18</v>
      </c>
      <c r="D146" s="10">
        <v>45492</v>
      </c>
      <c r="E146" s="8" t="s">
        <v>19</v>
      </c>
      <c r="F146" s="11">
        <v>5</v>
      </c>
      <c r="G146" s="8" t="s">
        <v>16</v>
      </c>
      <c r="H146" s="8" t="s">
        <v>19</v>
      </c>
      <c r="I146" s="11" t="s">
        <v>307</v>
      </c>
      <c r="J146" s="8" t="s">
        <v>19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169</v>
      </c>
      <c r="C147" s="8" t="s">
        <v>14</v>
      </c>
      <c r="D147" s="10">
        <v>45493</v>
      </c>
      <c r="E147" s="8" t="s">
        <v>15</v>
      </c>
      <c r="F147" s="11">
        <v>15</v>
      </c>
      <c r="G147" s="8" t="s">
        <v>20</v>
      </c>
      <c r="H147" s="8" t="s">
        <v>15</v>
      </c>
      <c r="I147" s="11">
        <v>30</v>
      </c>
      <c r="J147" s="8" t="s">
        <v>15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170</v>
      </c>
      <c r="C148" s="8" t="s">
        <v>22</v>
      </c>
      <c r="D148" s="10">
        <v>45494</v>
      </c>
      <c r="E148" s="8" t="s">
        <v>19</v>
      </c>
      <c r="F148" s="11">
        <v>10</v>
      </c>
      <c r="G148" s="8" t="s">
        <v>16</v>
      </c>
      <c r="H148" s="8" t="s">
        <v>19</v>
      </c>
      <c r="I148" s="11" t="s">
        <v>307</v>
      </c>
      <c r="J148" s="8" t="s">
        <v>15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171</v>
      </c>
      <c r="C149" s="8" t="s">
        <v>18</v>
      </c>
      <c r="D149" s="10">
        <v>45495</v>
      </c>
      <c r="E149" s="8" t="s">
        <v>15</v>
      </c>
      <c r="F149" s="11">
        <v>5</v>
      </c>
      <c r="G149" s="8" t="s">
        <v>23</v>
      </c>
      <c r="H149" s="8" t="s">
        <v>19</v>
      </c>
      <c r="I149" s="11" t="s">
        <v>307</v>
      </c>
      <c r="J149" s="8" t="s">
        <v>19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172</v>
      </c>
      <c r="C150" s="8" t="s">
        <v>14</v>
      </c>
      <c r="D150" s="10">
        <v>45496</v>
      </c>
      <c r="E150" s="8" t="s">
        <v>19</v>
      </c>
      <c r="F150" s="11">
        <v>15</v>
      </c>
      <c r="G150" s="8" t="s">
        <v>16</v>
      </c>
      <c r="H150" s="8" t="s">
        <v>15</v>
      </c>
      <c r="I150" s="11">
        <v>30</v>
      </c>
      <c r="J150" s="8" t="s">
        <v>15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173</v>
      </c>
      <c r="C151" s="8" t="s">
        <v>22</v>
      </c>
      <c r="D151" s="10">
        <v>45497</v>
      </c>
      <c r="E151" s="8" t="s">
        <v>15</v>
      </c>
      <c r="F151" s="11">
        <v>10</v>
      </c>
      <c r="G151" s="8" t="s">
        <v>20</v>
      </c>
      <c r="H151" s="8" t="s">
        <v>19</v>
      </c>
      <c r="I151" s="11" t="s">
        <v>307</v>
      </c>
      <c r="J151" s="8" t="s">
        <v>15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174</v>
      </c>
      <c r="C152" s="8" t="s">
        <v>18</v>
      </c>
      <c r="D152" s="10">
        <v>45498</v>
      </c>
      <c r="E152" s="8" t="s">
        <v>19</v>
      </c>
      <c r="F152" s="11">
        <v>5</v>
      </c>
      <c r="G152" s="8" t="s">
        <v>16</v>
      </c>
      <c r="H152" s="8" t="s">
        <v>19</v>
      </c>
      <c r="I152" s="11" t="s">
        <v>307</v>
      </c>
      <c r="J152" s="8" t="s">
        <v>19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175</v>
      </c>
      <c r="C153" s="8" t="s">
        <v>14</v>
      </c>
      <c r="D153" s="10">
        <v>45499</v>
      </c>
      <c r="E153" s="8" t="s">
        <v>15</v>
      </c>
      <c r="F153" s="11">
        <v>15</v>
      </c>
      <c r="G153" s="8" t="s">
        <v>23</v>
      </c>
      <c r="H153" s="8" t="s">
        <v>15</v>
      </c>
      <c r="I153" s="11">
        <v>30</v>
      </c>
      <c r="J153" s="8" t="s">
        <v>15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176</v>
      </c>
      <c r="C154" s="8" t="s">
        <v>22</v>
      </c>
      <c r="D154" s="10">
        <v>45500</v>
      </c>
      <c r="E154" s="8" t="s">
        <v>19</v>
      </c>
      <c r="F154" s="11">
        <v>10</v>
      </c>
      <c r="G154" s="8" t="s">
        <v>16</v>
      </c>
      <c r="H154" s="8" t="s">
        <v>19</v>
      </c>
      <c r="I154" s="11" t="s">
        <v>307</v>
      </c>
      <c r="J154" s="8" t="s">
        <v>15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177</v>
      </c>
      <c r="C155" s="8" t="s">
        <v>18</v>
      </c>
      <c r="D155" s="10">
        <v>45501</v>
      </c>
      <c r="E155" s="8" t="s">
        <v>15</v>
      </c>
      <c r="F155" s="11">
        <v>5</v>
      </c>
      <c r="G155" s="8" t="s">
        <v>20</v>
      </c>
      <c r="H155" s="8" t="s">
        <v>19</v>
      </c>
      <c r="I155" s="11" t="s">
        <v>307</v>
      </c>
      <c r="J155" s="8" t="s">
        <v>19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178</v>
      </c>
      <c r="C156" s="8" t="s">
        <v>14</v>
      </c>
      <c r="D156" s="10">
        <v>45502</v>
      </c>
      <c r="E156" s="8" t="s">
        <v>19</v>
      </c>
      <c r="F156" s="11">
        <v>15</v>
      </c>
      <c r="G156" s="8" t="s">
        <v>16</v>
      </c>
      <c r="H156" s="8" t="s">
        <v>15</v>
      </c>
      <c r="I156" s="11">
        <v>30</v>
      </c>
      <c r="J156" s="8" t="s">
        <v>15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179</v>
      </c>
      <c r="C157" s="8" t="s">
        <v>22</v>
      </c>
      <c r="D157" s="10">
        <v>45503</v>
      </c>
      <c r="E157" s="8" t="s">
        <v>15</v>
      </c>
      <c r="F157" s="11">
        <v>10</v>
      </c>
      <c r="G157" s="8" t="s">
        <v>23</v>
      </c>
      <c r="H157" s="8" t="s">
        <v>19</v>
      </c>
      <c r="I157" s="11" t="s">
        <v>307</v>
      </c>
      <c r="J157" s="8" t="s">
        <v>15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180</v>
      </c>
      <c r="C158" s="8" t="s">
        <v>18</v>
      </c>
      <c r="D158" s="10">
        <v>45504</v>
      </c>
      <c r="E158" s="8" t="s">
        <v>19</v>
      </c>
      <c r="F158" s="11">
        <v>5</v>
      </c>
      <c r="G158" s="8" t="s">
        <v>16</v>
      </c>
      <c r="H158" s="8" t="s">
        <v>19</v>
      </c>
      <c r="I158" s="11" t="s">
        <v>307</v>
      </c>
      <c r="J158" s="8" t="s">
        <v>19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181</v>
      </c>
      <c r="C159" s="8" t="s">
        <v>14</v>
      </c>
      <c r="D159" s="10">
        <v>45505</v>
      </c>
      <c r="E159" s="8" t="s">
        <v>15</v>
      </c>
      <c r="F159" s="11">
        <v>15</v>
      </c>
      <c r="G159" s="8" t="s">
        <v>20</v>
      </c>
      <c r="H159" s="8" t="s">
        <v>15</v>
      </c>
      <c r="I159" s="11">
        <v>30</v>
      </c>
      <c r="J159" s="8" t="s">
        <v>15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182</v>
      </c>
      <c r="C160" s="8" t="s">
        <v>22</v>
      </c>
      <c r="D160" s="10">
        <v>45506</v>
      </c>
      <c r="E160" s="8" t="s">
        <v>19</v>
      </c>
      <c r="F160" s="11">
        <v>10</v>
      </c>
      <c r="G160" s="8" t="s">
        <v>16</v>
      </c>
      <c r="H160" s="8" t="s">
        <v>19</v>
      </c>
      <c r="I160" s="11" t="s">
        <v>307</v>
      </c>
      <c r="J160" s="8" t="s">
        <v>15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183</v>
      </c>
      <c r="C161" s="8" t="s">
        <v>18</v>
      </c>
      <c r="D161" s="10">
        <v>45507</v>
      </c>
      <c r="E161" s="8" t="s">
        <v>15</v>
      </c>
      <c r="F161" s="11">
        <v>5</v>
      </c>
      <c r="G161" s="8" t="s">
        <v>23</v>
      </c>
      <c r="H161" s="8" t="s">
        <v>19</v>
      </c>
      <c r="I161" s="11" t="s">
        <v>307</v>
      </c>
      <c r="J161" s="8" t="s">
        <v>19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83</v>
      </c>
      <c r="C162" s="8" t="s">
        <v>14</v>
      </c>
      <c r="D162" s="10">
        <v>45508</v>
      </c>
      <c r="E162" s="8" t="s">
        <v>19</v>
      </c>
      <c r="F162" s="11">
        <v>15</v>
      </c>
      <c r="G162" s="8" t="s">
        <v>16</v>
      </c>
      <c r="H162" s="8" t="s">
        <v>15</v>
      </c>
      <c r="I162" s="11">
        <v>30</v>
      </c>
      <c r="J162" s="8" t="s">
        <v>15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184</v>
      </c>
      <c r="C163" s="8" t="s">
        <v>22</v>
      </c>
      <c r="D163" s="10">
        <v>45509</v>
      </c>
      <c r="E163" s="8" t="s">
        <v>15</v>
      </c>
      <c r="F163" s="11">
        <v>10</v>
      </c>
      <c r="G163" s="8" t="s">
        <v>20</v>
      </c>
      <c r="H163" s="8" t="s">
        <v>19</v>
      </c>
      <c r="I163" s="11" t="s">
        <v>307</v>
      </c>
      <c r="J163" s="8" t="s">
        <v>15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185</v>
      </c>
      <c r="C164" s="8" t="s">
        <v>18</v>
      </c>
      <c r="D164" s="10">
        <v>45510</v>
      </c>
      <c r="E164" s="8" t="s">
        <v>19</v>
      </c>
      <c r="F164" s="11">
        <v>5</v>
      </c>
      <c r="G164" s="8" t="s">
        <v>16</v>
      </c>
      <c r="H164" s="8" t="s">
        <v>19</v>
      </c>
      <c r="I164" s="11" t="s">
        <v>307</v>
      </c>
      <c r="J164" s="8" t="s">
        <v>19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186</v>
      </c>
      <c r="C165" s="8" t="s">
        <v>14</v>
      </c>
      <c r="D165" s="10">
        <v>45511</v>
      </c>
      <c r="E165" s="8" t="s">
        <v>15</v>
      </c>
      <c r="F165" s="11">
        <v>15</v>
      </c>
      <c r="G165" s="8" t="s">
        <v>23</v>
      </c>
      <c r="H165" s="8" t="s">
        <v>15</v>
      </c>
      <c r="I165" s="11">
        <v>30</v>
      </c>
      <c r="J165" s="8" t="s">
        <v>15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187</v>
      </c>
      <c r="C166" s="8" t="s">
        <v>22</v>
      </c>
      <c r="D166" s="10">
        <v>45512</v>
      </c>
      <c r="E166" s="8" t="s">
        <v>19</v>
      </c>
      <c r="F166" s="11">
        <v>10</v>
      </c>
      <c r="G166" s="8" t="s">
        <v>16</v>
      </c>
      <c r="H166" s="8" t="s">
        <v>19</v>
      </c>
      <c r="I166" s="11" t="s">
        <v>307</v>
      </c>
      <c r="J166" s="8" t="s">
        <v>15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188</v>
      </c>
      <c r="C167" s="8" t="s">
        <v>18</v>
      </c>
      <c r="D167" s="10">
        <v>45513</v>
      </c>
      <c r="E167" s="8" t="s">
        <v>15</v>
      </c>
      <c r="F167" s="11">
        <v>5</v>
      </c>
      <c r="G167" s="8" t="s">
        <v>20</v>
      </c>
      <c r="H167" s="8" t="s">
        <v>19</v>
      </c>
      <c r="I167" s="11" t="s">
        <v>307</v>
      </c>
      <c r="J167" s="8" t="s">
        <v>19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115</v>
      </c>
      <c r="C168" s="8" t="s">
        <v>14</v>
      </c>
      <c r="D168" s="10">
        <v>45514</v>
      </c>
      <c r="E168" s="8" t="s">
        <v>19</v>
      </c>
      <c r="F168" s="11">
        <v>15</v>
      </c>
      <c r="G168" s="8" t="s">
        <v>16</v>
      </c>
      <c r="H168" s="8" t="s">
        <v>15</v>
      </c>
      <c r="I168" s="11">
        <v>30</v>
      </c>
      <c r="J168" s="8" t="s">
        <v>15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189</v>
      </c>
      <c r="C169" s="8" t="s">
        <v>22</v>
      </c>
      <c r="D169" s="10">
        <v>45515</v>
      </c>
      <c r="E169" s="8" t="s">
        <v>15</v>
      </c>
      <c r="F169" s="11">
        <v>10</v>
      </c>
      <c r="G169" s="8" t="s">
        <v>23</v>
      </c>
      <c r="H169" s="8" t="s">
        <v>19</v>
      </c>
      <c r="I169" s="11" t="s">
        <v>307</v>
      </c>
      <c r="J169" s="8" t="s">
        <v>15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190</v>
      </c>
      <c r="C170" s="8" t="s">
        <v>18</v>
      </c>
      <c r="D170" s="10">
        <v>45516</v>
      </c>
      <c r="E170" s="8" t="s">
        <v>19</v>
      </c>
      <c r="F170" s="11">
        <v>5</v>
      </c>
      <c r="G170" s="8" t="s">
        <v>16</v>
      </c>
      <c r="H170" s="8" t="s">
        <v>19</v>
      </c>
      <c r="I170" s="11" t="s">
        <v>307</v>
      </c>
      <c r="J170" s="8" t="s">
        <v>19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191</v>
      </c>
      <c r="C171" s="8" t="s">
        <v>14</v>
      </c>
      <c r="D171" s="10">
        <v>45517</v>
      </c>
      <c r="E171" s="8" t="s">
        <v>15</v>
      </c>
      <c r="F171" s="11">
        <v>15</v>
      </c>
      <c r="G171" s="8" t="s">
        <v>20</v>
      </c>
      <c r="H171" s="8" t="s">
        <v>15</v>
      </c>
      <c r="I171" s="11">
        <v>30</v>
      </c>
      <c r="J171" s="8" t="s">
        <v>15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192</v>
      </c>
      <c r="C172" s="8" t="s">
        <v>22</v>
      </c>
      <c r="D172" s="10">
        <v>45518</v>
      </c>
      <c r="E172" s="8" t="s">
        <v>19</v>
      </c>
      <c r="F172" s="11">
        <v>10</v>
      </c>
      <c r="G172" s="8" t="s">
        <v>16</v>
      </c>
      <c r="H172" s="8" t="s">
        <v>19</v>
      </c>
      <c r="I172" s="11" t="s">
        <v>307</v>
      </c>
      <c r="J172" s="8" t="s">
        <v>15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193</v>
      </c>
      <c r="C173" s="8" t="s">
        <v>18</v>
      </c>
      <c r="D173" s="10">
        <v>45519</v>
      </c>
      <c r="E173" s="8" t="s">
        <v>15</v>
      </c>
      <c r="F173" s="11">
        <v>5</v>
      </c>
      <c r="G173" s="8" t="s">
        <v>23</v>
      </c>
      <c r="H173" s="8" t="s">
        <v>19</v>
      </c>
      <c r="I173" s="11" t="s">
        <v>307</v>
      </c>
      <c r="J173" s="8" t="s">
        <v>19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194</v>
      </c>
      <c r="C174" s="8" t="s">
        <v>14</v>
      </c>
      <c r="D174" s="10">
        <v>45520</v>
      </c>
      <c r="E174" s="8" t="s">
        <v>19</v>
      </c>
      <c r="F174" s="11">
        <v>15</v>
      </c>
      <c r="G174" s="8" t="s">
        <v>16</v>
      </c>
      <c r="H174" s="8" t="s">
        <v>15</v>
      </c>
      <c r="I174" s="11">
        <v>30</v>
      </c>
      <c r="J174" s="8" t="s">
        <v>15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195</v>
      </c>
      <c r="C175" s="8" t="s">
        <v>22</v>
      </c>
      <c r="D175" s="10">
        <v>45521</v>
      </c>
      <c r="E175" s="8" t="s">
        <v>15</v>
      </c>
      <c r="F175" s="11">
        <v>10</v>
      </c>
      <c r="G175" s="8" t="s">
        <v>20</v>
      </c>
      <c r="H175" s="8" t="s">
        <v>19</v>
      </c>
      <c r="I175" s="11" t="s">
        <v>307</v>
      </c>
      <c r="J175" s="8" t="s">
        <v>15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196</v>
      </c>
      <c r="C176" s="8" t="s">
        <v>18</v>
      </c>
      <c r="D176" s="10">
        <v>45522</v>
      </c>
      <c r="E176" s="8" t="s">
        <v>19</v>
      </c>
      <c r="F176" s="11">
        <v>5</v>
      </c>
      <c r="G176" s="8" t="s">
        <v>16</v>
      </c>
      <c r="H176" s="8" t="s">
        <v>19</v>
      </c>
      <c r="I176" s="11" t="s">
        <v>307</v>
      </c>
      <c r="J176" s="8" t="s">
        <v>19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197</v>
      </c>
      <c r="C177" s="8" t="s">
        <v>18</v>
      </c>
      <c r="D177" s="10">
        <v>45523</v>
      </c>
      <c r="E177" s="8" t="s">
        <v>15</v>
      </c>
      <c r="F177" s="11">
        <v>5</v>
      </c>
      <c r="G177" s="8" t="s">
        <v>16</v>
      </c>
      <c r="H177" s="8" t="s">
        <v>19</v>
      </c>
      <c r="I177" s="11" t="s">
        <v>307</v>
      </c>
      <c r="J177" s="8" t="s">
        <v>19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198</v>
      </c>
      <c r="C178" s="8" t="s">
        <v>14</v>
      </c>
      <c r="D178" s="10">
        <v>45524</v>
      </c>
      <c r="E178" s="8" t="s">
        <v>19</v>
      </c>
      <c r="F178" s="11">
        <v>15</v>
      </c>
      <c r="G178" s="8" t="s">
        <v>23</v>
      </c>
      <c r="H178" s="8" t="s">
        <v>15</v>
      </c>
      <c r="I178" s="11">
        <v>30</v>
      </c>
      <c r="J178" s="8" t="s">
        <v>15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199</v>
      </c>
      <c r="C179" s="8" t="s">
        <v>22</v>
      </c>
      <c r="D179" s="10">
        <v>45525</v>
      </c>
      <c r="E179" s="8" t="s">
        <v>15</v>
      </c>
      <c r="F179" s="11">
        <v>10</v>
      </c>
      <c r="G179" s="8" t="s">
        <v>20</v>
      </c>
      <c r="H179" s="8" t="s">
        <v>19</v>
      </c>
      <c r="I179" s="11" t="s">
        <v>307</v>
      </c>
      <c r="J179" s="8" t="s">
        <v>15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200</v>
      </c>
      <c r="C180" s="8" t="s">
        <v>18</v>
      </c>
      <c r="D180" s="10">
        <v>45526</v>
      </c>
      <c r="E180" s="8" t="s">
        <v>19</v>
      </c>
      <c r="F180" s="11">
        <v>5</v>
      </c>
      <c r="G180" s="8" t="s">
        <v>23</v>
      </c>
      <c r="H180" s="8" t="s">
        <v>19</v>
      </c>
      <c r="I180" s="11" t="s">
        <v>307</v>
      </c>
      <c r="J180" s="8" t="s">
        <v>19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201</v>
      </c>
      <c r="C181" s="8" t="s">
        <v>14</v>
      </c>
      <c r="D181" s="10">
        <v>45527</v>
      </c>
      <c r="E181" s="8" t="s">
        <v>15</v>
      </c>
      <c r="F181" s="11">
        <v>15</v>
      </c>
      <c r="G181" s="8" t="s">
        <v>16</v>
      </c>
      <c r="H181" s="8" t="s">
        <v>15</v>
      </c>
      <c r="I181" s="11">
        <v>30</v>
      </c>
      <c r="J181" s="8" t="s">
        <v>15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202</v>
      </c>
      <c r="C182" s="8" t="s">
        <v>22</v>
      </c>
      <c r="D182" s="10">
        <v>45528</v>
      </c>
      <c r="E182" s="8" t="s">
        <v>19</v>
      </c>
      <c r="F182" s="11">
        <v>10</v>
      </c>
      <c r="G182" s="8" t="s">
        <v>16</v>
      </c>
      <c r="H182" s="8" t="s">
        <v>19</v>
      </c>
      <c r="I182" s="11" t="s">
        <v>307</v>
      </c>
      <c r="J182" s="8" t="s">
        <v>15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203</v>
      </c>
      <c r="C183" s="8" t="s">
        <v>18</v>
      </c>
      <c r="D183" s="10">
        <v>45529</v>
      </c>
      <c r="E183" s="8" t="s">
        <v>15</v>
      </c>
      <c r="F183" s="11">
        <v>5</v>
      </c>
      <c r="G183" s="8" t="s">
        <v>20</v>
      </c>
      <c r="H183" s="8" t="s">
        <v>19</v>
      </c>
      <c r="I183" s="11" t="s">
        <v>307</v>
      </c>
      <c r="J183" s="8" t="s">
        <v>19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204</v>
      </c>
      <c r="C184" s="8" t="s">
        <v>14</v>
      </c>
      <c r="D184" s="10">
        <v>45530</v>
      </c>
      <c r="E184" s="8" t="s">
        <v>19</v>
      </c>
      <c r="F184" s="11">
        <v>15</v>
      </c>
      <c r="G184" s="8" t="s">
        <v>23</v>
      </c>
      <c r="H184" s="8" t="s">
        <v>15</v>
      </c>
      <c r="I184" s="11">
        <v>30</v>
      </c>
      <c r="J184" s="8" t="s">
        <v>15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205</v>
      </c>
      <c r="C185" s="8" t="s">
        <v>22</v>
      </c>
      <c r="D185" s="10">
        <v>45531</v>
      </c>
      <c r="E185" s="8" t="s">
        <v>15</v>
      </c>
      <c r="F185" s="11">
        <v>10</v>
      </c>
      <c r="G185" s="8" t="s">
        <v>23</v>
      </c>
      <c r="H185" s="8" t="s">
        <v>19</v>
      </c>
      <c r="I185" s="11" t="s">
        <v>307</v>
      </c>
      <c r="J185" s="8" t="s">
        <v>15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206</v>
      </c>
      <c r="C186" s="8" t="s">
        <v>18</v>
      </c>
      <c r="D186" s="10">
        <v>45532</v>
      </c>
      <c r="E186" s="8" t="s">
        <v>19</v>
      </c>
      <c r="F186" s="11">
        <v>5</v>
      </c>
      <c r="G186" s="8" t="s">
        <v>16</v>
      </c>
      <c r="H186" s="8" t="s">
        <v>19</v>
      </c>
      <c r="I186" s="11" t="s">
        <v>307</v>
      </c>
      <c r="J186" s="8" t="s">
        <v>19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207</v>
      </c>
      <c r="C187" s="8" t="s">
        <v>14</v>
      </c>
      <c r="D187" s="10">
        <v>45533</v>
      </c>
      <c r="E187" s="8" t="s">
        <v>15</v>
      </c>
      <c r="F187" s="11">
        <v>15</v>
      </c>
      <c r="G187" s="8" t="s">
        <v>20</v>
      </c>
      <c r="H187" s="8" t="s">
        <v>15</v>
      </c>
      <c r="I187" s="11">
        <v>30</v>
      </c>
      <c r="J187" s="8" t="s">
        <v>15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208</v>
      </c>
      <c r="C188" s="8" t="s">
        <v>22</v>
      </c>
      <c r="D188" s="10">
        <v>45534</v>
      </c>
      <c r="E188" s="8" t="s">
        <v>19</v>
      </c>
      <c r="F188" s="11">
        <v>10</v>
      </c>
      <c r="G188" s="8" t="s">
        <v>16</v>
      </c>
      <c r="H188" s="8" t="s">
        <v>19</v>
      </c>
      <c r="I188" s="11" t="s">
        <v>307</v>
      </c>
      <c r="J188" s="8" t="s">
        <v>15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209</v>
      </c>
      <c r="C189" s="8" t="s">
        <v>18</v>
      </c>
      <c r="D189" s="10">
        <v>45535</v>
      </c>
      <c r="E189" s="8" t="s">
        <v>15</v>
      </c>
      <c r="F189" s="11">
        <v>5</v>
      </c>
      <c r="G189" s="8" t="s">
        <v>23</v>
      </c>
      <c r="H189" s="8" t="s">
        <v>19</v>
      </c>
      <c r="I189" s="11" t="s">
        <v>307</v>
      </c>
      <c r="J189" s="8" t="s">
        <v>19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210</v>
      </c>
      <c r="C190" s="8" t="s">
        <v>14</v>
      </c>
      <c r="D190" s="10">
        <v>45536</v>
      </c>
      <c r="E190" s="8" t="s">
        <v>19</v>
      </c>
      <c r="F190" s="11">
        <v>15</v>
      </c>
      <c r="G190" s="8" t="s">
        <v>16</v>
      </c>
      <c r="H190" s="8" t="s">
        <v>15</v>
      </c>
      <c r="I190" s="11">
        <v>30</v>
      </c>
      <c r="J190" s="8" t="s">
        <v>15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211</v>
      </c>
      <c r="C191" s="8" t="s">
        <v>22</v>
      </c>
      <c r="D191" s="10">
        <v>45537</v>
      </c>
      <c r="E191" s="8" t="s">
        <v>15</v>
      </c>
      <c r="F191" s="11">
        <v>10</v>
      </c>
      <c r="G191" s="8" t="s">
        <v>20</v>
      </c>
      <c r="H191" s="8" t="s">
        <v>19</v>
      </c>
      <c r="I191" s="11" t="s">
        <v>307</v>
      </c>
      <c r="J191" s="8" t="s">
        <v>15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40</v>
      </c>
      <c r="C192" s="8" t="s">
        <v>18</v>
      </c>
      <c r="D192" s="10">
        <v>45538</v>
      </c>
      <c r="E192" s="8" t="s">
        <v>19</v>
      </c>
      <c r="F192" s="11">
        <v>5</v>
      </c>
      <c r="G192" s="8" t="s">
        <v>16</v>
      </c>
      <c r="H192" s="8" t="s">
        <v>19</v>
      </c>
      <c r="I192" s="11" t="s">
        <v>307</v>
      </c>
      <c r="J192" s="8" t="s">
        <v>19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212</v>
      </c>
      <c r="C193" s="8" t="s">
        <v>14</v>
      </c>
      <c r="D193" s="10">
        <v>45539</v>
      </c>
      <c r="E193" s="8" t="s">
        <v>15</v>
      </c>
      <c r="F193" s="11">
        <v>15</v>
      </c>
      <c r="G193" s="8" t="s">
        <v>23</v>
      </c>
      <c r="H193" s="8" t="s">
        <v>15</v>
      </c>
      <c r="I193" s="11">
        <v>30</v>
      </c>
      <c r="J193" s="8" t="s">
        <v>15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213</v>
      </c>
      <c r="C194" s="8" t="s">
        <v>22</v>
      </c>
      <c r="D194" s="10">
        <v>45540</v>
      </c>
      <c r="E194" s="8" t="s">
        <v>19</v>
      </c>
      <c r="F194" s="11">
        <v>10</v>
      </c>
      <c r="G194" s="8" t="s">
        <v>16</v>
      </c>
      <c r="H194" s="8" t="s">
        <v>19</v>
      </c>
      <c r="I194" s="11" t="s">
        <v>307</v>
      </c>
      <c r="J194" s="8" t="s">
        <v>15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39</v>
      </c>
      <c r="C195" s="8" t="s">
        <v>18</v>
      </c>
      <c r="D195" s="10">
        <v>45541</v>
      </c>
      <c r="E195" s="8" t="s">
        <v>15</v>
      </c>
      <c r="F195" s="11">
        <v>5</v>
      </c>
      <c r="G195" s="8" t="s">
        <v>20</v>
      </c>
      <c r="H195" s="8" t="s">
        <v>19</v>
      </c>
      <c r="I195" s="11" t="s">
        <v>307</v>
      </c>
      <c r="J195" s="8" t="s">
        <v>19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214</v>
      </c>
      <c r="C196" s="8" t="s">
        <v>14</v>
      </c>
      <c r="D196" s="10">
        <v>45542</v>
      </c>
      <c r="E196" s="8" t="s">
        <v>19</v>
      </c>
      <c r="F196" s="11">
        <v>15</v>
      </c>
      <c r="G196" s="8" t="s">
        <v>16</v>
      </c>
      <c r="H196" s="8" t="s">
        <v>15</v>
      </c>
      <c r="I196" s="11">
        <v>30</v>
      </c>
      <c r="J196" s="8" t="s">
        <v>15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192</v>
      </c>
      <c r="C197" s="8" t="s">
        <v>22</v>
      </c>
      <c r="D197" s="10">
        <v>45543</v>
      </c>
      <c r="E197" s="8" t="s">
        <v>15</v>
      </c>
      <c r="F197" s="11">
        <v>10</v>
      </c>
      <c r="G197" s="8" t="s">
        <v>23</v>
      </c>
      <c r="H197" s="8" t="s">
        <v>19</v>
      </c>
      <c r="I197" s="11" t="s">
        <v>307</v>
      </c>
      <c r="J197" s="8" t="s">
        <v>15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215</v>
      </c>
      <c r="C198" s="8" t="s">
        <v>18</v>
      </c>
      <c r="D198" s="10">
        <v>45544</v>
      </c>
      <c r="E198" s="8" t="s">
        <v>19</v>
      </c>
      <c r="F198" s="11">
        <v>5</v>
      </c>
      <c r="G198" s="8" t="s">
        <v>16</v>
      </c>
      <c r="H198" s="8" t="s">
        <v>19</v>
      </c>
      <c r="I198" s="11" t="s">
        <v>307</v>
      </c>
      <c r="J198" s="8" t="s">
        <v>19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216</v>
      </c>
      <c r="C199" s="8" t="s">
        <v>14</v>
      </c>
      <c r="D199" s="10">
        <v>45545</v>
      </c>
      <c r="E199" s="8" t="s">
        <v>15</v>
      </c>
      <c r="F199" s="11">
        <v>15</v>
      </c>
      <c r="G199" s="8" t="s">
        <v>20</v>
      </c>
      <c r="H199" s="8" t="s">
        <v>15</v>
      </c>
      <c r="I199" s="11">
        <v>30</v>
      </c>
      <c r="J199" s="8" t="s">
        <v>15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217</v>
      </c>
      <c r="C200" s="8" t="s">
        <v>22</v>
      </c>
      <c r="D200" s="10">
        <v>45546</v>
      </c>
      <c r="E200" s="8" t="s">
        <v>19</v>
      </c>
      <c r="F200" s="11">
        <v>10</v>
      </c>
      <c r="G200" s="8" t="s">
        <v>16</v>
      </c>
      <c r="H200" s="8" t="s">
        <v>19</v>
      </c>
      <c r="I200" s="11" t="s">
        <v>307</v>
      </c>
      <c r="J200" s="8" t="s">
        <v>15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218</v>
      </c>
      <c r="C201" s="8" t="s">
        <v>18</v>
      </c>
      <c r="D201" s="10">
        <v>45547</v>
      </c>
      <c r="E201" s="8" t="s">
        <v>15</v>
      </c>
      <c r="F201" s="11">
        <v>5</v>
      </c>
      <c r="G201" s="8" t="s">
        <v>23</v>
      </c>
      <c r="H201" s="8" t="s">
        <v>19</v>
      </c>
      <c r="I201" s="11" t="s">
        <v>307</v>
      </c>
      <c r="J201" s="8" t="s">
        <v>19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219</v>
      </c>
      <c r="C202" s="8" t="s">
        <v>14</v>
      </c>
      <c r="D202" s="10">
        <v>45548</v>
      </c>
      <c r="E202" s="8" t="s">
        <v>19</v>
      </c>
      <c r="F202" s="11">
        <v>15</v>
      </c>
      <c r="G202" s="8" t="s">
        <v>16</v>
      </c>
      <c r="H202" s="8" t="s">
        <v>15</v>
      </c>
      <c r="I202" s="11">
        <v>30</v>
      </c>
      <c r="J202" s="8" t="s">
        <v>15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220</v>
      </c>
      <c r="C203" s="8" t="s">
        <v>22</v>
      </c>
      <c r="D203" s="10">
        <v>45549</v>
      </c>
      <c r="E203" s="8" t="s">
        <v>15</v>
      </c>
      <c r="F203" s="11">
        <v>10</v>
      </c>
      <c r="G203" s="8" t="s">
        <v>20</v>
      </c>
      <c r="H203" s="8" t="s">
        <v>19</v>
      </c>
      <c r="I203" s="11" t="s">
        <v>307</v>
      </c>
      <c r="J203" s="8" t="s">
        <v>15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221</v>
      </c>
      <c r="C204" s="8" t="s">
        <v>18</v>
      </c>
      <c r="D204" s="10">
        <v>45550</v>
      </c>
      <c r="E204" s="8" t="s">
        <v>19</v>
      </c>
      <c r="F204" s="11">
        <v>5</v>
      </c>
      <c r="G204" s="8" t="s">
        <v>16</v>
      </c>
      <c r="H204" s="8" t="s">
        <v>19</v>
      </c>
      <c r="I204" s="11" t="s">
        <v>307</v>
      </c>
      <c r="J204" s="8" t="s">
        <v>19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222</v>
      </c>
      <c r="C205" s="8" t="s">
        <v>14</v>
      </c>
      <c r="D205" s="10">
        <v>45551</v>
      </c>
      <c r="E205" s="8" t="s">
        <v>15</v>
      </c>
      <c r="F205" s="11">
        <v>15</v>
      </c>
      <c r="G205" s="8" t="s">
        <v>23</v>
      </c>
      <c r="H205" s="8" t="s">
        <v>15</v>
      </c>
      <c r="I205" s="11">
        <v>30</v>
      </c>
      <c r="J205" s="8" t="s">
        <v>15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223</v>
      </c>
      <c r="C206" s="8" t="s">
        <v>22</v>
      </c>
      <c r="D206" s="10">
        <v>45552</v>
      </c>
      <c r="E206" s="8" t="s">
        <v>19</v>
      </c>
      <c r="F206" s="11">
        <v>10</v>
      </c>
      <c r="G206" s="8" t="s">
        <v>16</v>
      </c>
      <c r="H206" s="8" t="s">
        <v>19</v>
      </c>
      <c r="I206" s="11" t="s">
        <v>307</v>
      </c>
      <c r="J206" s="8" t="s">
        <v>15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224</v>
      </c>
      <c r="C207" s="8" t="s">
        <v>18</v>
      </c>
      <c r="D207" s="10">
        <v>45553</v>
      </c>
      <c r="E207" s="8" t="s">
        <v>15</v>
      </c>
      <c r="F207" s="11">
        <v>5</v>
      </c>
      <c r="G207" s="8" t="s">
        <v>16</v>
      </c>
      <c r="H207" s="8" t="s">
        <v>19</v>
      </c>
      <c r="I207" s="11" t="s">
        <v>307</v>
      </c>
      <c r="J207" s="8" t="s">
        <v>19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225</v>
      </c>
      <c r="C208" s="8" t="s">
        <v>14</v>
      </c>
      <c r="D208" s="10">
        <v>45554</v>
      </c>
      <c r="E208" s="8" t="s">
        <v>19</v>
      </c>
      <c r="F208" s="11">
        <v>15</v>
      </c>
      <c r="G208" s="8" t="s">
        <v>23</v>
      </c>
      <c r="H208" s="8" t="s">
        <v>15</v>
      </c>
      <c r="I208" s="11">
        <v>30</v>
      </c>
      <c r="J208" s="8" t="s">
        <v>15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226</v>
      </c>
      <c r="C209" s="8" t="s">
        <v>22</v>
      </c>
      <c r="D209" s="10">
        <v>45555</v>
      </c>
      <c r="E209" s="8" t="s">
        <v>15</v>
      </c>
      <c r="F209" s="11">
        <v>10</v>
      </c>
      <c r="G209" s="8" t="s">
        <v>20</v>
      </c>
      <c r="H209" s="8" t="s">
        <v>19</v>
      </c>
      <c r="I209" s="11" t="s">
        <v>307</v>
      </c>
      <c r="J209" s="8" t="s">
        <v>15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227</v>
      </c>
      <c r="C210" s="8" t="s">
        <v>18</v>
      </c>
      <c r="D210" s="10">
        <v>45556</v>
      </c>
      <c r="E210" s="8" t="s">
        <v>19</v>
      </c>
      <c r="F210" s="11">
        <v>5</v>
      </c>
      <c r="G210" s="8" t="s">
        <v>23</v>
      </c>
      <c r="H210" s="8" t="s">
        <v>19</v>
      </c>
      <c r="I210" s="11" t="s">
        <v>307</v>
      </c>
      <c r="J210" s="8" t="s">
        <v>19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228</v>
      </c>
      <c r="C211" s="8" t="s">
        <v>14</v>
      </c>
      <c r="D211" s="10">
        <v>45557</v>
      </c>
      <c r="E211" s="8" t="s">
        <v>15</v>
      </c>
      <c r="F211" s="11">
        <v>15</v>
      </c>
      <c r="G211" s="8" t="s">
        <v>16</v>
      </c>
      <c r="H211" s="8" t="s">
        <v>15</v>
      </c>
      <c r="I211" s="11">
        <v>30</v>
      </c>
      <c r="J211" s="8" t="s">
        <v>15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229</v>
      </c>
      <c r="C212" s="8" t="s">
        <v>22</v>
      </c>
      <c r="D212" s="10">
        <v>45558</v>
      </c>
      <c r="E212" s="8" t="s">
        <v>19</v>
      </c>
      <c r="F212" s="11">
        <v>10</v>
      </c>
      <c r="G212" s="8" t="s">
        <v>16</v>
      </c>
      <c r="H212" s="8" t="s">
        <v>19</v>
      </c>
      <c r="I212" s="11" t="s">
        <v>307</v>
      </c>
      <c r="J212" s="8" t="s">
        <v>15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230</v>
      </c>
      <c r="C213" s="8" t="s">
        <v>18</v>
      </c>
      <c r="D213" s="10">
        <v>45559</v>
      </c>
      <c r="E213" s="8" t="s">
        <v>15</v>
      </c>
      <c r="F213" s="11">
        <v>5</v>
      </c>
      <c r="G213" s="8" t="s">
        <v>20</v>
      </c>
      <c r="H213" s="8" t="s">
        <v>19</v>
      </c>
      <c r="I213" s="11" t="s">
        <v>307</v>
      </c>
      <c r="J213" s="8" t="s">
        <v>19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231</v>
      </c>
      <c r="C214" s="8" t="s">
        <v>14</v>
      </c>
      <c r="D214" s="10">
        <v>45560</v>
      </c>
      <c r="E214" s="8" t="s">
        <v>19</v>
      </c>
      <c r="F214" s="11">
        <v>15</v>
      </c>
      <c r="G214" s="8" t="s">
        <v>23</v>
      </c>
      <c r="H214" s="8" t="s">
        <v>15</v>
      </c>
      <c r="I214" s="11">
        <v>30</v>
      </c>
      <c r="J214" s="8" t="s">
        <v>15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232</v>
      </c>
      <c r="C215" s="8" t="s">
        <v>22</v>
      </c>
      <c r="D215" s="10">
        <v>45561</v>
      </c>
      <c r="E215" s="8" t="s">
        <v>15</v>
      </c>
      <c r="F215" s="11">
        <v>10</v>
      </c>
      <c r="G215" s="8" t="s">
        <v>23</v>
      </c>
      <c r="H215" s="8" t="s">
        <v>19</v>
      </c>
      <c r="I215" s="11" t="s">
        <v>307</v>
      </c>
      <c r="J215" s="8" t="s">
        <v>15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62</v>
      </c>
      <c r="C216" s="8" t="s">
        <v>18</v>
      </c>
      <c r="D216" s="10">
        <v>45562</v>
      </c>
      <c r="E216" s="8" t="s">
        <v>19</v>
      </c>
      <c r="F216" s="11">
        <v>5</v>
      </c>
      <c r="G216" s="8" t="s">
        <v>16</v>
      </c>
      <c r="H216" s="8" t="s">
        <v>19</v>
      </c>
      <c r="I216" s="11" t="s">
        <v>307</v>
      </c>
      <c r="J216" s="8" t="s">
        <v>19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233</v>
      </c>
      <c r="C217" s="8" t="s">
        <v>14</v>
      </c>
      <c r="D217" s="10">
        <v>45563</v>
      </c>
      <c r="E217" s="8" t="s">
        <v>15</v>
      </c>
      <c r="F217" s="11">
        <v>15</v>
      </c>
      <c r="G217" s="8" t="s">
        <v>20</v>
      </c>
      <c r="H217" s="8" t="s">
        <v>15</v>
      </c>
      <c r="I217" s="11">
        <v>30</v>
      </c>
      <c r="J217" s="8" t="s">
        <v>15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234</v>
      </c>
      <c r="C218" s="8" t="s">
        <v>22</v>
      </c>
      <c r="D218" s="10">
        <v>45564</v>
      </c>
      <c r="E218" s="8" t="s">
        <v>19</v>
      </c>
      <c r="F218" s="11">
        <v>10</v>
      </c>
      <c r="G218" s="8" t="s">
        <v>16</v>
      </c>
      <c r="H218" s="8" t="s">
        <v>19</v>
      </c>
      <c r="I218" s="11" t="s">
        <v>307</v>
      </c>
      <c r="J218" s="8" t="s">
        <v>15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235</v>
      </c>
      <c r="C219" s="8" t="s">
        <v>18</v>
      </c>
      <c r="D219" s="10">
        <v>45565</v>
      </c>
      <c r="E219" s="8" t="s">
        <v>15</v>
      </c>
      <c r="F219" s="11">
        <v>5</v>
      </c>
      <c r="G219" s="8" t="s">
        <v>23</v>
      </c>
      <c r="H219" s="8" t="s">
        <v>19</v>
      </c>
      <c r="I219" s="11" t="s">
        <v>307</v>
      </c>
      <c r="J219" s="8" t="s">
        <v>19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236</v>
      </c>
      <c r="C220" s="8" t="s">
        <v>14</v>
      </c>
      <c r="D220" s="10">
        <v>45566</v>
      </c>
      <c r="E220" s="8" t="s">
        <v>19</v>
      </c>
      <c r="F220" s="11">
        <v>15</v>
      </c>
      <c r="G220" s="8" t="s">
        <v>16</v>
      </c>
      <c r="H220" s="8" t="s">
        <v>15</v>
      </c>
      <c r="I220" s="11">
        <v>30</v>
      </c>
      <c r="J220" s="8" t="s">
        <v>15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237</v>
      </c>
      <c r="C221" s="8" t="s">
        <v>22</v>
      </c>
      <c r="D221" s="10">
        <v>45567</v>
      </c>
      <c r="E221" s="8" t="s">
        <v>15</v>
      </c>
      <c r="F221" s="11">
        <v>10</v>
      </c>
      <c r="G221" s="8" t="s">
        <v>20</v>
      </c>
      <c r="H221" s="8" t="s">
        <v>19</v>
      </c>
      <c r="I221" s="11" t="s">
        <v>307</v>
      </c>
      <c r="J221" s="8" t="s">
        <v>15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238</v>
      </c>
      <c r="C222" s="8" t="s">
        <v>18</v>
      </c>
      <c r="D222" s="10">
        <v>45568</v>
      </c>
      <c r="E222" s="8" t="s">
        <v>19</v>
      </c>
      <c r="F222" s="11">
        <v>5</v>
      </c>
      <c r="G222" s="8" t="s">
        <v>16</v>
      </c>
      <c r="H222" s="8" t="s">
        <v>19</v>
      </c>
      <c r="I222" s="11" t="s">
        <v>307</v>
      </c>
      <c r="J222" s="8" t="s">
        <v>19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216</v>
      </c>
      <c r="C223" s="8" t="s">
        <v>14</v>
      </c>
      <c r="D223" s="10">
        <v>45569</v>
      </c>
      <c r="E223" s="8" t="s">
        <v>15</v>
      </c>
      <c r="F223" s="11">
        <v>15</v>
      </c>
      <c r="G223" s="8" t="s">
        <v>23</v>
      </c>
      <c r="H223" s="8" t="s">
        <v>15</v>
      </c>
      <c r="I223" s="11">
        <v>30</v>
      </c>
      <c r="J223" s="8" t="s">
        <v>15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70</v>
      </c>
      <c r="C224" s="8" t="s">
        <v>22</v>
      </c>
      <c r="D224" s="10">
        <v>45570</v>
      </c>
      <c r="E224" s="8" t="s">
        <v>19</v>
      </c>
      <c r="F224" s="11">
        <v>10</v>
      </c>
      <c r="G224" s="8" t="s">
        <v>16</v>
      </c>
      <c r="H224" s="8" t="s">
        <v>19</v>
      </c>
      <c r="I224" s="11" t="s">
        <v>307</v>
      </c>
      <c r="J224" s="8" t="s">
        <v>15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239</v>
      </c>
      <c r="C225" s="8" t="s">
        <v>18</v>
      </c>
      <c r="D225" s="10">
        <v>45571</v>
      </c>
      <c r="E225" s="8" t="s">
        <v>15</v>
      </c>
      <c r="F225" s="11">
        <v>5</v>
      </c>
      <c r="G225" s="8" t="s">
        <v>20</v>
      </c>
      <c r="H225" s="8" t="s">
        <v>19</v>
      </c>
      <c r="I225" s="11" t="s">
        <v>307</v>
      </c>
      <c r="J225" s="8" t="s">
        <v>19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240</v>
      </c>
      <c r="C226" s="8" t="s">
        <v>14</v>
      </c>
      <c r="D226" s="10">
        <v>45572</v>
      </c>
      <c r="E226" s="8" t="s">
        <v>19</v>
      </c>
      <c r="F226" s="11">
        <v>15</v>
      </c>
      <c r="G226" s="8" t="s">
        <v>16</v>
      </c>
      <c r="H226" s="8" t="s">
        <v>15</v>
      </c>
      <c r="I226" s="11">
        <v>30</v>
      </c>
      <c r="J226" s="8" t="s">
        <v>15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241</v>
      </c>
      <c r="C227" s="8" t="s">
        <v>22</v>
      </c>
      <c r="D227" s="10">
        <v>45573</v>
      </c>
      <c r="E227" s="8" t="s">
        <v>15</v>
      </c>
      <c r="F227" s="11">
        <v>10</v>
      </c>
      <c r="G227" s="8" t="s">
        <v>23</v>
      </c>
      <c r="H227" s="8" t="s">
        <v>19</v>
      </c>
      <c r="I227" s="11" t="s">
        <v>307</v>
      </c>
      <c r="J227" s="8" t="s">
        <v>15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242</v>
      </c>
      <c r="C228" s="8" t="s">
        <v>18</v>
      </c>
      <c r="D228" s="10">
        <v>45574</v>
      </c>
      <c r="E228" s="8" t="s">
        <v>19</v>
      </c>
      <c r="F228" s="11">
        <v>5</v>
      </c>
      <c r="G228" s="8" t="s">
        <v>16</v>
      </c>
      <c r="H228" s="8" t="s">
        <v>19</v>
      </c>
      <c r="I228" s="11" t="s">
        <v>307</v>
      </c>
      <c r="J228" s="8" t="s">
        <v>19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243</v>
      </c>
      <c r="C229" s="8" t="s">
        <v>14</v>
      </c>
      <c r="D229" s="10">
        <v>45575</v>
      </c>
      <c r="E229" s="8" t="s">
        <v>15</v>
      </c>
      <c r="F229" s="11">
        <v>15</v>
      </c>
      <c r="G229" s="8" t="s">
        <v>20</v>
      </c>
      <c r="H229" s="8" t="s">
        <v>15</v>
      </c>
      <c r="I229" s="11">
        <v>30</v>
      </c>
      <c r="J229" s="8" t="s">
        <v>15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244</v>
      </c>
      <c r="C230" s="8" t="s">
        <v>22</v>
      </c>
      <c r="D230" s="10">
        <v>45576</v>
      </c>
      <c r="E230" s="8" t="s">
        <v>19</v>
      </c>
      <c r="F230" s="11">
        <v>10</v>
      </c>
      <c r="G230" s="8" t="s">
        <v>16</v>
      </c>
      <c r="H230" s="8" t="s">
        <v>19</v>
      </c>
      <c r="I230" s="11" t="s">
        <v>307</v>
      </c>
      <c r="J230" s="8" t="s">
        <v>15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152</v>
      </c>
      <c r="C231" s="8" t="s">
        <v>18</v>
      </c>
      <c r="D231" s="10">
        <v>45577</v>
      </c>
      <c r="E231" s="8" t="s">
        <v>15</v>
      </c>
      <c r="F231" s="11">
        <v>5</v>
      </c>
      <c r="G231" s="8" t="s">
        <v>23</v>
      </c>
      <c r="H231" s="8" t="s">
        <v>19</v>
      </c>
      <c r="I231" s="11" t="s">
        <v>307</v>
      </c>
      <c r="J231" s="8" t="s">
        <v>19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245</v>
      </c>
      <c r="C232" s="8" t="s">
        <v>14</v>
      </c>
      <c r="D232" s="10">
        <v>45578</v>
      </c>
      <c r="E232" s="8" t="s">
        <v>19</v>
      </c>
      <c r="F232" s="11">
        <v>15</v>
      </c>
      <c r="G232" s="8" t="s">
        <v>16</v>
      </c>
      <c r="H232" s="8" t="s">
        <v>15</v>
      </c>
      <c r="I232" s="11">
        <v>30</v>
      </c>
      <c r="J232" s="8" t="s">
        <v>15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246</v>
      </c>
      <c r="C233" s="8" t="s">
        <v>22</v>
      </c>
      <c r="D233" s="10">
        <v>45579</v>
      </c>
      <c r="E233" s="8" t="s">
        <v>15</v>
      </c>
      <c r="F233" s="11">
        <v>10</v>
      </c>
      <c r="G233" s="8" t="s">
        <v>20</v>
      </c>
      <c r="H233" s="8" t="s">
        <v>19</v>
      </c>
      <c r="I233" s="11" t="s">
        <v>307</v>
      </c>
      <c r="J233" s="8" t="s">
        <v>15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247</v>
      </c>
      <c r="C234" s="8" t="s">
        <v>18</v>
      </c>
      <c r="D234" s="10">
        <v>45580</v>
      </c>
      <c r="E234" s="8" t="s">
        <v>19</v>
      </c>
      <c r="F234" s="11">
        <v>5</v>
      </c>
      <c r="G234" s="8" t="s">
        <v>16</v>
      </c>
      <c r="H234" s="8" t="s">
        <v>19</v>
      </c>
      <c r="I234" s="11" t="s">
        <v>307</v>
      </c>
      <c r="J234" s="8" t="s">
        <v>19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248</v>
      </c>
      <c r="C235" s="8" t="s">
        <v>14</v>
      </c>
      <c r="D235" s="10">
        <v>45581</v>
      </c>
      <c r="E235" s="8" t="s">
        <v>15</v>
      </c>
      <c r="F235" s="11">
        <v>15</v>
      </c>
      <c r="G235" s="8" t="s">
        <v>23</v>
      </c>
      <c r="H235" s="8" t="s">
        <v>15</v>
      </c>
      <c r="I235" s="11">
        <v>30</v>
      </c>
      <c r="J235" s="8" t="s">
        <v>15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249</v>
      </c>
      <c r="C236" s="8" t="s">
        <v>22</v>
      </c>
      <c r="D236" s="10">
        <v>45582</v>
      </c>
      <c r="E236" s="8" t="s">
        <v>19</v>
      </c>
      <c r="F236" s="11">
        <v>10</v>
      </c>
      <c r="G236" s="8" t="s">
        <v>16</v>
      </c>
      <c r="H236" s="8" t="s">
        <v>19</v>
      </c>
      <c r="I236" s="11" t="s">
        <v>307</v>
      </c>
      <c r="J236" s="8" t="s">
        <v>15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250</v>
      </c>
      <c r="C237" s="8" t="s">
        <v>18</v>
      </c>
      <c r="D237" s="10">
        <v>45583</v>
      </c>
      <c r="E237" s="8" t="s">
        <v>15</v>
      </c>
      <c r="F237" s="11">
        <v>5</v>
      </c>
      <c r="G237" s="8" t="s">
        <v>20</v>
      </c>
      <c r="H237" s="8" t="s">
        <v>19</v>
      </c>
      <c r="I237" s="11" t="s">
        <v>307</v>
      </c>
      <c r="J237" s="8" t="s">
        <v>19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251</v>
      </c>
      <c r="C238" s="8" t="s">
        <v>14</v>
      </c>
      <c r="D238" s="10">
        <v>45584</v>
      </c>
      <c r="E238" s="8" t="s">
        <v>19</v>
      </c>
      <c r="F238" s="11">
        <v>15</v>
      </c>
      <c r="G238" s="8" t="s">
        <v>16</v>
      </c>
      <c r="H238" s="8" t="s">
        <v>15</v>
      </c>
      <c r="I238" s="11">
        <v>30</v>
      </c>
      <c r="J238" s="8" t="s">
        <v>15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252</v>
      </c>
      <c r="C239" s="8" t="s">
        <v>22</v>
      </c>
      <c r="D239" s="10">
        <v>45585</v>
      </c>
      <c r="E239" s="8" t="s">
        <v>15</v>
      </c>
      <c r="F239" s="11">
        <v>10</v>
      </c>
      <c r="G239" s="8" t="s">
        <v>23</v>
      </c>
      <c r="H239" s="8" t="s">
        <v>19</v>
      </c>
      <c r="I239" s="11" t="s">
        <v>307</v>
      </c>
      <c r="J239" s="8" t="s">
        <v>15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253</v>
      </c>
      <c r="C240" s="8" t="s">
        <v>18</v>
      </c>
      <c r="D240" s="10">
        <v>45586</v>
      </c>
      <c r="E240" s="8" t="s">
        <v>19</v>
      </c>
      <c r="F240" s="11">
        <v>5</v>
      </c>
      <c r="G240" s="8" t="s">
        <v>16</v>
      </c>
      <c r="H240" s="8" t="s">
        <v>19</v>
      </c>
      <c r="I240" s="11" t="s">
        <v>307</v>
      </c>
      <c r="J240" s="8" t="s">
        <v>19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254</v>
      </c>
      <c r="C241" s="8" t="s">
        <v>14</v>
      </c>
      <c r="D241" s="10">
        <v>45587</v>
      </c>
      <c r="E241" s="8" t="s">
        <v>15</v>
      </c>
      <c r="F241" s="11">
        <v>15</v>
      </c>
      <c r="G241" s="8" t="s">
        <v>20</v>
      </c>
      <c r="H241" s="8" t="s">
        <v>15</v>
      </c>
      <c r="I241" s="11">
        <v>30</v>
      </c>
      <c r="J241" s="8" t="s">
        <v>15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255</v>
      </c>
      <c r="C242" s="8" t="s">
        <v>22</v>
      </c>
      <c r="D242" s="10">
        <v>45588</v>
      </c>
      <c r="E242" s="8" t="s">
        <v>19</v>
      </c>
      <c r="F242" s="11">
        <v>10</v>
      </c>
      <c r="G242" s="8" t="s">
        <v>16</v>
      </c>
      <c r="H242" s="8" t="s">
        <v>19</v>
      </c>
      <c r="I242" s="11" t="s">
        <v>307</v>
      </c>
      <c r="J242" s="8" t="s">
        <v>15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256</v>
      </c>
      <c r="C243" s="8" t="s">
        <v>18</v>
      </c>
      <c r="D243" s="10">
        <v>45589</v>
      </c>
      <c r="E243" s="8" t="s">
        <v>15</v>
      </c>
      <c r="F243" s="11">
        <v>5</v>
      </c>
      <c r="G243" s="8" t="s">
        <v>23</v>
      </c>
      <c r="H243" s="8" t="s">
        <v>19</v>
      </c>
      <c r="I243" s="11" t="s">
        <v>307</v>
      </c>
      <c r="J243" s="8" t="s">
        <v>19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165</v>
      </c>
      <c r="C244" s="8" t="s">
        <v>14</v>
      </c>
      <c r="D244" s="10">
        <v>45590</v>
      </c>
      <c r="E244" s="8" t="s">
        <v>19</v>
      </c>
      <c r="F244" s="11">
        <v>15</v>
      </c>
      <c r="G244" s="8" t="s">
        <v>16</v>
      </c>
      <c r="H244" s="8" t="s">
        <v>15</v>
      </c>
      <c r="I244" s="11">
        <v>30</v>
      </c>
      <c r="J244" s="8" t="s">
        <v>15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257</v>
      </c>
      <c r="C245" s="8" t="s">
        <v>22</v>
      </c>
      <c r="D245" s="10">
        <v>45591</v>
      </c>
      <c r="E245" s="8" t="s">
        <v>15</v>
      </c>
      <c r="F245" s="11">
        <v>10</v>
      </c>
      <c r="G245" s="8" t="s">
        <v>20</v>
      </c>
      <c r="H245" s="8" t="s">
        <v>19</v>
      </c>
      <c r="I245" s="11" t="s">
        <v>307</v>
      </c>
      <c r="J245" s="8" t="s">
        <v>15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258</v>
      </c>
      <c r="C246" s="8" t="s">
        <v>18</v>
      </c>
      <c r="D246" s="10">
        <v>45592</v>
      </c>
      <c r="E246" s="8" t="s">
        <v>19</v>
      </c>
      <c r="F246" s="11">
        <v>5</v>
      </c>
      <c r="G246" s="8" t="s">
        <v>16</v>
      </c>
      <c r="H246" s="8" t="s">
        <v>19</v>
      </c>
      <c r="I246" s="11" t="s">
        <v>307</v>
      </c>
      <c r="J246" s="8" t="s">
        <v>19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259</v>
      </c>
      <c r="C247" s="8" t="s">
        <v>14</v>
      </c>
      <c r="D247" s="10">
        <v>45593</v>
      </c>
      <c r="E247" s="8" t="s">
        <v>15</v>
      </c>
      <c r="F247" s="11">
        <v>15</v>
      </c>
      <c r="G247" s="8" t="s">
        <v>23</v>
      </c>
      <c r="H247" s="8" t="s">
        <v>15</v>
      </c>
      <c r="I247" s="11">
        <v>30</v>
      </c>
      <c r="J247" s="8" t="s">
        <v>15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260</v>
      </c>
      <c r="C248" s="8" t="s">
        <v>22</v>
      </c>
      <c r="D248" s="10">
        <v>45594</v>
      </c>
      <c r="E248" s="8" t="s">
        <v>19</v>
      </c>
      <c r="F248" s="11">
        <v>10</v>
      </c>
      <c r="G248" s="8" t="s">
        <v>16</v>
      </c>
      <c r="H248" s="8" t="s">
        <v>19</v>
      </c>
      <c r="I248" s="11" t="s">
        <v>307</v>
      </c>
      <c r="J248" s="8" t="s">
        <v>15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261</v>
      </c>
      <c r="C249" s="8" t="s">
        <v>18</v>
      </c>
      <c r="D249" s="10">
        <v>45595</v>
      </c>
      <c r="E249" s="8" t="s">
        <v>15</v>
      </c>
      <c r="F249" s="11">
        <v>5</v>
      </c>
      <c r="G249" s="8" t="s">
        <v>20</v>
      </c>
      <c r="H249" s="8" t="s">
        <v>19</v>
      </c>
      <c r="I249" s="11" t="s">
        <v>307</v>
      </c>
      <c r="J249" s="8" t="s">
        <v>19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262</v>
      </c>
      <c r="C250" s="8" t="s">
        <v>14</v>
      </c>
      <c r="D250" s="10">
        <v>45596</v>
      </c>
      <c r="E250" s="8" t="s">
        <v>19</v>
      </c>
      <c r="F250" s="11">
        <v>15</v>
      </c>
      <c r="G250" s="8" t="s">
        <v>16</v>
      </c>
      <c r="H250" s="8" t="s">
        <v>15</v>
      </c>
      <c r="I250" s="11">
        <v>30</v>
      </c>
      <c r="J250" s="8" t="s">
        <v>15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263</v>
      </c>
      <c r="C251" s="8" t="s">
        <v>22</v>
      </c>
      <c r="D251" s="10">
        <v>45597</v>
      </c>
      <c r="E251" s="8" t="s">
        <v>15</v>
      </c>
      <c r="F251" s="11">
        <v>10</v>
      </c>
      <c r="G251" s="8" t="s">
        <v>23</v>
      </c>
      <c r="H251" s="8" t="s">
        <v>19</v>
      </c>
      <c r="I251" s="11" t="s">
        <v>307</v>
      </c>
      <c r="J251" s="8" t="s">
        <v>15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264</v>
      </c>
      <c r="C252" s="8" t="s">
        <v>18</v>
      </c>
      <c r="D252" s="10">
        <v>45598</v>
      </c>
      <c r="E252" s="8" t="s">
        <v>19</v>
      </c>
      <c r="F252" s="11">
        <v>5</v>
      </c>
      <c r="G252" s="8" t="s">
        <v>16</v>
      </c>
      <c r="H252" s="8" t="s">
        <v>19</v>
      </c>
      <c r="I252" s="11" t="s">
        <v>307</v>
      </c>
      <c r="J252" s="8" t="s">
        <v>19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265</v>
      </c>
      <c r="C253" s="8" t="s">
        <v>14</v>
      </c>
      <c r="D253" s="10">
        <v>45599</v>
      </c>
      <c r="E253" s="8" t="s">
        <v>15</v>
      </c>
      <c r="F253" s="11">
        <v>15</v>
      </c>
      <c r="G253" s="8" t="s">
        <v>20</v>
      </c>
      <c r="H253" s="8" t="s">
        <v>15</v>
      </c>
      <c r="I253" s="11">
        <v>30</v>
      </c>
      <c r="J253" s="8" t="s">
        <v>15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266</v>
      </c>
      <c r="C254" s="8" t="s">
        <v>22</v>
      </c>
      <c r="D254" s="10">
        <v>45600</v>
      </c>
      <c r="E254" s="8" t="s">
        <v>19</v>
      </c>
      <c r="F254" s="11">
        <v>10</v>
      </c>
      <c r="G254" s="8" t="s">
        <v>16</v>
      </c>
      <c r="H254" s="8" t="s">
        <v>19</v>
      </c>
      <c r="I254" s="11" t="s">
        <v>307</v>
      </c>
      <c r="J254" s="8" t="s">
        <v>15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267</v>
      </c>
      <c r="C255" s="8" t="s">
        <v>18</v>
      </c>
      <c r="D255" s="10">
        <v>45601</v>
      </c>
      <c r="E255" s="8" t="s">
        <v>15</v>
      </c>
      <c r="F255" s="11">
        <v>5</v>
      </c>
      <c r="G255" s="8" t="s">
        <v>23</v>
      </c>
      <c r="H255" s="8" t="s">
        <v>19</v>
      </c>
      <c r="I255" s="11" t="s">
        <v>307</v>
      </c>
      <c r="J255" s="8" t="s">
        <v>19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268</v>
      </c>
      <c r="C256" s="8" t="s">
        <v>14</v>
      </c>
      <c r="D256" s="10">
        <v>45602</v>
      </c>
      <c r="E256" s="8" t="s">
        <v>19</v>
      </c>
      <c r="F256" s="11">
        <v>15</v>
      </c>
      <c r="G256" s="8" t="s">
        <v>16</v>
      </c>
      <c r="H256" s="8" t="s">
        <v>15</v>
      </c>
      <c r="I256" s="11">
        <v>30</v>
      </c>
      <c r="J256" s="8" t="s">
        <v>15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269</v>
      </c>
      <c r="C257" s="8" t="s">
        <v>18</v>
      </c>
      <c r="D257" s="10">
        <v>45603</v>
      </c>
      <c r="E257" s="8" t="s">
        <v>15</v>
      </c>
      <c r="F257" s="11">
        <v>5</v>
      </c>
      <c r="G257" s="8" t="s">
        <v>16</v>
      </c>
      <c r="H257" s="8" t="s">
        <v>19</v>
      </c>
      <c r="I257" s="11" t="s">
        <v>307</v>
      </c>
      <c r="J257" s="8" t="s">
        <v>19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270</v>
      </c>
      <c r="C258" s="8" t="s">
        <v>14</v>
      </c>
      <c r="D258" s="10">
        <v>45604</v>
      </c>
      <c r="E258" s="8" t="s">
        <v>19</v>
      </c>
      <c r="F258" s="11">
        <v>15</v>
      </c>
      <c r="G258" s="8" t="s">
        <v>23</v>
      </c>
      <c r="H258" s="8" t="s">
        <v>15</v>
      </c>
      <c r="I258" s="11">
        <v>30</v>
      </c>
      <c r="J258" s="8" t="s">
        <v>15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271</v>
      </c>
      <c r="C259" s="8" t="s">
        <v>22</v>
      </c>
      <c r="D259" s="10">
        <v>45605</v>
      </c>
      <c r="E259" s="8" t="s">
        <v>15</v>
      </c>
      <c r="F259" s="11">
        <v>10</v>
      </c>
      <c r="G259" s="8" t="s">
        <v>20</v>
      </c>
      <c r="H259" s="8" t="s">
        <v>19</v>
      </c>
      <c r="I259" s="11" t="s">
        <v>307</v>
      </c>
      <c r="J259" s="8" t="s">
        <v>15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272</v>
      </c>
      <c r="C260" s="8" t="s">
        <v>18</v>
      </c>
      <c r="D260" s="10">
        <v>45606</v>
      </c>
      <c r="E260" s="8" t="s">
        <v>19</v>
      </c>
      <c r="F260" s="11">
        <v>5</v>
      </c>
      <c r="G260" s="8" t="s">
        <v>23</v>
      </c>
      <c r="H260" s="8" t="s">
        <v>19</v>
      </c>
      <c r="I260" s="11" t="s">
        <v>307</v>
      </c>
      <c r="J260" s="8" t="s">
        <v>19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273</v>
      </c>
      <c r="C261" s="8" t="s">
        <v>14</v>
      </c>
      <c r="D261" s="10">
        <v>45607</v>
      </c>
      <c r="E261" s="8" t="s">
        <v>15</v>
      </c>
      <c r="F261" s="11">
        <v>15</v>
      </c>
      <c r="G261" s="8" t="s">
        <v>16</v>
      </c>
      <c r="H261" s="8" t="s">
        <v>15</v>
      </c>
      <c r="I261" s="11">
        <v>30</v>
      </c>
      <c r="J261" s="8" t="s">
        <v>15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274</v>
      </c>
      <c r="C262" s="8" t="s">
        <v>22</v>
      </c>
      <c r="D262" s="10">
        <v>45608</v>
      </c>
      <c r="E262" s="8" t="s">
        <v>19</v>
      </c>
      <c r="F262" s="11">
        <v>10</v>
      </c>
      <c r="G262" s="8" t="s">
        <v>16</v>
      </c>
      <c r="H262" s="8" t="s">
        <v>19</v>
      </c>
      <c r="I262" s="11" t="s">
        <v>307</v>
      </c>
      <c r="J262" s="8" t="s">
        <v>15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275</v>
      </c>
      <c r="C263" s="8" t="s">
        <v>18</v>
      </c>
      <c r="D263" s="10">
        <v>45609</v>
      </c>
      <c r="E263" s="8" t="s">
        <v>15</v>
      </c>
      <c r="F263" s="11">
        <v>5</v>
      </c>
      <c r="G263" s="8" t="s">
        <v>20</v>
      </c>
      <c r="H263" s="8" t="s">
        <v>19</v>
      </c>
      <c r="I263" s="11" t="s">
        <v>307</v>
      </c>
      <c r="J263" s="8" t="s">
        <v>19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276</v>
      </c>
      <c r="C264" s="8" t="s">
        <v>14</v>
      </c>
      <c r="D264" s="10">
        <v>45610</v>
      </c>
      <c r="E264" s="8" t="s">
        <v>19</v>
      </c>
      <c r="F264" s="11">
        <v>15</v>
      </c>
      <c r="G264" s="8" t="s">
        <v>23</v>
      </c>
      <c r="H264" s="8" t="s">
        <v>15</v>
      </c>
      <c r="I264" s="11">
        <v>30</v>
      </c>
      <c r="J264" s="8" t="s">
        <v>15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277</v>
      </c>
      <c r="C265" s="8" t="s">
        <v>22</v>
      </c>
      <c r="D265" s="10">
        <v>45611</v>
      </c>
      <c r="E265" s="8" t="s">
        <v>15</v>
      </c>
      <c r="F265" s="11">
        <v>10</v>
      </c>
      <c r="G265" s="8" t="s">
        <v>23</v>
      </c>
      <c r="H265" s="8" t="s">
        <v>19</v>
      </c>
      <c r="I265" s="11" t="s">
        <v>307</v>
      </c>
      <c r="J265" s="8" t="s">
        <v>15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278</v>
      </c>
      <c r="C266" s="8" t="s">
        <v>18</v>
      </c>
      <c r="D266" s="10">
        <v>45612</v>
      </c>
      <c r="E266" s="8" t="s">
        <v>19</v>
      </c>
      <c r="F266" s="11">
        <v>5</v>
      </c>
      <c r="G266" s="8" t="s">
        <v>16</v>
      </c>
      <c r="H266" s="8" t="s">
        <v>19</v>
      </c>
      <c r="I266" s="11" t="s">
        <v>307</v>
      </c>
      <c r="J266" s="8" t="s">
        <v>19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279</v>
      </c>
      <c r="C267" s="8" t="s">
        <v>14</v>
      </c>
      <c r="D267" s="10">
        <v>45613</v>
      </c>
      <c r="E267" s="8" t="s">
        <v>15</v>
      </c>
      <c r="F267" s="11">
        <v>15</v>
      </c>
      <c r="G267" s="8" t="s">
        <v>20</v>
      </c>
      <c r="H267" s="8" t="s">
        <v>15</v>
      </c>
      <c r="I267" s="11">
        <v>30</v>
      </c>
      <c r="J267" s="8" t="s">
        <v>15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280</v>
      </c>
      <c r="C268" s="8" t="s">
        <v>22</v>
      </c>
      <c r="D268" s="10">
        <v>45614</v>
      </c>
      <c r="E268" s="8" t="s">
        <v>19</v>
      </c>
      <c r="F268" s="11">
        <v>10</v>
      </c>
      <c r="G268" s="8" t="s">
        <v>16</v>
      </c>
      <c r="H268" s="8" t="s">
        <v>19</v>
      </c>
      <c r="I268" s="11" t="s">
        <v>307</v>
      </c>
      <c r="J268" s="8" t="s">
        <v>15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281</v>
      </c>
      <c r="C269" s="8" t="s">
        <v>18</v>
      </c>
      <c r="D269" s="10">
        <v>45615</v>
      </c>
      <c r="E269" s="8" t="s">
        <v>15</v>
      </c>
      <c r="F269" s="11">
        <v>5</v>
      </c>
      <c r="G269" s="8" t="s">
        <v>23</v>
      </c>
      <c r="H269" s="8" t="s">
        <v>19</v>
      </c>
      <c r="I269" s="11" t="s">
        <v>307</v>
      </c>
      <c r="J269" s="8" t="s">
        <v>19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282</v>
      </c>
      <c r="C270" s="8" t="s">
        <v>14</v>
      </c>
      <c r="D270" s="10">
        <v>45616</v>
      </c>
      <c r="E270" s="8" t="s">
        <v>19</v>
      </c>
      <c r="F270" s="11">
        <v>15</v>
      </c>
      <c r="G270" s="8" t="s">
        <v>16</v>
      </c>
      <c r="H270" s="8" t="s">
        <v>15</v>
      </c>
      <c r="I270" s="11">
        <v>30</v>
      </c>
      <c r="J270" s="8" t="s">
        <v>15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283</v>
      </c>
      <c r="C271" s="8" t="s">
        <v>22</v>
      </c>
      <c r="D271" s="10">
        <v>45617</v>
      </c>
      <c r="E271" s="8" t="s">
        <v>15</v>
      </c>
      <c r="F271" s="11">
        <v>10</v>
      </c>
      <c r="G271" s="8" t="s">
        <v>20</v>
      </c>
      <c r="H271" s="8" t="s">
        <v>19</v>
      </c>
      <c r="I271" s="11" t="s">
        <v>307</v>
      </c>
      <c r="J271" s="8" t="s">
        <v>15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284</v>
      </c>
      <c r="C272" s="8" t="s">
        <v>18</v>
      </c>
      <c r="D272" s="10">
        <v>45618</v>
      </c>
      <c r="E272" s="8" t="s">
        <v>19</v>
      </c>
      <c r="F272" s="11">
        <v>5</v>
      </c>
      <c r="G272" s="8" t="s">
        <v>16</v>
      </c>
      <c r="H272" s="8" t="s">
        <v>19</v>
      </c>
      <c r="I272" s="11" t="s">
        <v>307</v>
      </c>
      <c r="J272" s="8" t="s">
        <v>19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285</v>
      </c>
      <c r="C273" s="8" t="s">
        <v>14</v>
      </c>
      <c r="D273" s="10">
        <v>45619</v>
      </c>
      <c r="E273" s="8" t="s">
        <v>15</v>
      </c>
      <c r="F273" s="11">
        <v>15</v>
      </c>
      <c r="G273" s="8" t="s">
        <v>23</v>
      </c>
      <c r="H273" s="8" t="s">
        <v>15</v>
      </c>
      <c r="I273" s="11">
        <v>30</v>
      </c>
      <c r="J273" s="8" t="s">
        <v>15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144</v>
      </c>
      <c r="C274" s="8" t="s">
        <v>22</v>
      </c>
      <c r="D274" s="10">
        <v>45620</v>
      </c>
      <c r="E274" s="8" t="s">
        <v>19</v>
      </c>
      <c r="F274" s="11">
        <v>10</v>
      </c>
      <c r="G274" s="8" t="s">
        <v>16</v>
      </c>
      <c r="H274" s="8" t="s">
        <v>19</v>
      </c>
      <c r="I274" s="11" t="s">
        <v>307</v>
      </c>
      <c r="J274" s="8" t="s">
        <v>15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286</v>
      </c>
      <c r="C275" s="8" t="s">
        <v>18</v>
      </c>
      <c r="D275" s="10">
        <v>45621</v>
      </c>
      <c r="E275" s="8" t="s">
        <v>15</v>
      </c>
      <c r="F275" s="11">
        <v>5</v>
      </c>
      <c r="G275" s="8" t="s">
        <v>20</v>
      </c>
      <c r="H275" s="8" t="s">
        <v>19</v>
      </c>
      <c r="I275" s="11" t="s">
        <v>307</v>
      </c>
      <c r="J275" s="8" t="s">
        <v>19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287</v>
      </c>
      <c r="C276" s="8" t="s">
        <v>14</v>
      </c>
      <c r="D276" s="10">
        <v>45622</v>
      </c>
      <c r="E276" s="8" t="s">
        <v>19</v>
      </c>
      <c r="F276" s="11">
        <v>15</v>
      </c>
      <c r="G276" s="8" t="s">
        <v>16</v>
      </c>
      <c r="H276" s="8" t="s">
        <v>15</v>
      </c>
      <c r="I276" s="11">
        <v>30</v>
      </c>
      <c r="J276" s="8" t="s">
        <v>15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288</v>
      </c>
      <c r="C277" s="8" t="s">
        <v>22</v>
      </c>
      <c r="D277" s="10">
        <v>45623</v>
      </c>
      <c r="E277" s="8" t="s">
        <v>15</v>
      </c>
      <c r="F277" s="11">
        <v>10</v>
      </c>
      <c r="G277" s="8" t="s">
        <v>23</v>
      </c>
      <c r="H277" s="8" t="s">
        <v>19</v>
      </c>
      <c r="I277" s="11" t="s">
        <v>307</v>
      </c>
      <c r="J277" s="8" t="s">
        <v>15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289</v>
      </c>
      <c r="C278" s="8" t="s">
        <v>18</v>
      </c>
      <c r="D278" s="10">
        <v>45624</v>
      </c>
      <c r="E278" s="8" t="s">
        <v>19</v>
      </c>
      <c r="F278" s="11">
        <v>5</v>
      </c>
      <c r="G278" s="8" t="s">
        <v>16</v>
      </c>
      <c r="H278" s="8" t="s">
        <v>19</v>
      </c>
      <c r="I278" s="11" t="s">
        <v>307</v>
      </c>
      <c r="J278" s="8" t="s">
        <v>19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290</v>
      </c>
      <c r="C279" s="8" t="s">
        <v>14</v>
      </c>
      <c r="D279" s="10">
        <v>45625</v>
      </c>
      <c r="E279" s="8" t="s">
        <v>15</v>
      </c>
      <c r="F279" s="11">
        <v>15</v>
      </c>
      <c r="G279" s="8" t="s">
        <v>20</v>
      </c>
      <c r="H279" s="8" t="s">
        <v>15</v>
      </c>
      <c r="I279" s="11">
        <v>30</v>
      </c>
      <c r="J279" s="8" t="s">
        <v>15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291</v>
      </c>
      <c r="C280" s="8" t="s">
        <v>22</v>
      </c>
      <c r="D280" s="10">
        <v>45626</v>
      </c>
      <c r="E280" s="8" t="s">
        <v>19</v>
      </c>
      <c r="F280" s="11">
        <v>10</v>
      </c>
      <c r="G280" s="8" t="s">
        <v>16</v>
      </c>
      <c r="H280" s="8" t="s">
        <v>19</v>
      </c>
      <c r="I280" s="11" t="s">
        <v>307</v>
      </c>
      <c r="J280" s="8" t="s">
        <v>15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292</v>
      </c>
      <c r="C281" s="8" t="s">
        <v>18</v>
      </c>
      <c r="D281" s="10">
        <v>45627</v>
      </c>
      <c r="E281" s="8" t="s">
        <v>15</v>
      </c>
      <c r="F281" s="11">
        <v>5</v>
      </c>
      <c r="G281" s="8" t="s">
        <v>23</v>
      </c>
      <c r="H281" s="8" t="s">
        <v>19</v>
      </c>
      <c r="I281" s="11" t="s">
        <v>307</v>
      </c>
      <c r="J281" s="8" t="s">
        <v>19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293</v>
      </c>
      <c r="C282" s="8" t="s">
        <v>14</v>
      </c>
      <c r="D282" s="10">
        <v>45628</v>
      </c>
      <c r="E282" s="8" t="s">
        <v>19</v>
      </c>
      <c r="F282" s="11">
        <v>15</v>
      </c>
      <c r="G282" s="8" t="s">
        <v>16</v>
      </c>
      <c r="H282" s="8" t="s">
        <v>15</v>
      </c>
      <c r="I282" s="11">
        <v>30</v>
      </c>
      <c r="J282" s="8" t="s">
        <v>15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294</v>
      </c>
      <c r="C283" s="8" t="s">
        <v>22</v>
      </c>
      <c r="D283" s="10">
        <v>45629</v>
      </c>
      <c r="E283" s="8" t="s">
        <v>15</v>
      </c>
      <c r="F283" s="11">
        <v>10</v>
      </c>
      <c r="G283" s="8" t="s">
        <v>20</v>
      </c>
      <c r="H283" s="8" t="s">
        <v>19</v>
      </c>
      <c r="I283" s="11" t="s">
        <v>307</v>
      </c>
      <c r="J283" s="8" t="s">
        <v>15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295</v>
      </c>
      <c r="C284" s="8" t="s">
        <v>18</v>
      </c>
      <c r="D284" s="10">
        <v>45630</v>
      </c>
      <c r="E284" s="8" t="s">
        <v>19</v>
      </c>
      <c r="F284" s="11">
        <v>5</v>
      </c>
      <c r="G284" s="8" t="s">
        <v>16</v>
      </c>
      <c r="H284" s="8" t="s">
        <v>19</v>
      </c>
      <c r="I284" s="11" t="s">
        <v>307</v>
      </c>
      <c r="J284" s="8" t="s">
        <v>19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296</v>
      </c>
      <c r="C285" s="8" t="s">
        <v>14</v>
      </c>
      <c r="D285" s="10">
        <v>45631</v>
      </c>
      <c r="E285" s="8" t="s">
        <v>15</v>
      </c>
      <c r="F285" s="11">
        <v>15</v>
      </c>
      <c r="G285" s="8" t="s">
        <v>23</v>
      </c>
      <c r="H285" s="8" t="s">
        <v>15</v>
      </c>
      <c r="I285" s="11">
        <v>30</v>
      </c>
      <c r="J285" s="8" t="s">
        <v>15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155</v>
      </c>
      <c r="C286" s="8" t="s">
        <v>22</v>
      </c>
      <c r="D286" s="10">
        <v>45632</v>
      </c>
      <c r="E286" s="8" t="s">
        <v>19</v>
      </c>
      <c r="F286" s="11">
        <v>10</v>
      </c>
      <c r="G286" s="8" t="s">
        <v>16</v>
      </c>
      <c r="H286" s="8" t="s">
        <v>19</v>
      </c>
      <c r="I286" s="11" t="s">
        <v>307</v>
      </c>
      <c r="J286" s="8" t="s">
        <v>15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156</v>
      </c>
      <c r="C287" s="8" t="s">
        <v>18</v>
      </c>
      <c r="D287" s="10">
        <v>45633</v>
      </c>
      <c r="E287" s="8" t="s">
        <v>15</v>
      </c>
      <c r="F287" s="11">
        <v>5</v>
      </c>
      <c r="G287" s="8" t="s">
        <v>20</v>
      </c>
      <c r="H287" s="8" t="s">
        <v>19</v>
      </c>
      <c r="I287" s="11" t="s">
        <v>307</v>
      </c>
      <c r="J287" s="8" t="s">
        <v>19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206</v>
      </c>
      <c r="C288" s="8" t="s">
        <v>14</v>
      </c>
      <c r="D288" s="10">
        <v>45634</v>
      </c>
      <c r="E288" s="8" t="s">
        <v>19</v>
      </c>
      <c r="F288" s="11">
        <v>15</v>
      </c>
      <c r="G288" s="8" t="s">
        <v>16</v>
      </c>
      <c r="H288" s="8" t="s">
        <v>15</v>
      </c>
      <c r="I288" s="11">
        <v>30</v>
      </c>
      <c r="J288" s="8" t="s">
        <v>15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297</v>
      </c>
      <c r="C289" s="8" t="s">
        <v>22</v>
      </c>
      <c r="D289" s="10">
        <v>45635</v>
      </c>
      <c r="E289" s="8" t="s">
        <v>15</v>
      </c>
      <c r="F289" s="11">
        <v>10</v>
      </c>
      <c r="G289" s="8" t="s">
        <v>23</v>
      </c>
      <c r="H289" s="8" t="s">
        <v>19</v>
      </c>
      <c r="I289" s="11" t="s">
        <v>307</v>
      </c>
      <c r="J289" s="8" t="s">
        <v>15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298</v>
      </c>
      <c r="C290" s="8" t="s">
        <v>18</v>
      </c>
      <c r="D290" s="10">
        <v>45636</v>
      </c>
      <c r="E290" s="8" t="s">
        <v>19</v>
      </c>
      <c r="F290" s="11">
        <v>5</v>
      </c>
      <c r="G290" s="8" t="s">
        <v>16</v>
      </c>
      <c r="H290" s="8" t="s">
        <v>19</v>
      </c>
      <c r="I290" s="11" t="s">
        <v>307</v>
      </c>
      <c r="J290" s="8" t="s">
        <v>19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299</v>
      </c>
      <c r="C291" s="8" t="s">
        <v>14</v>
      </c>
      <c r="D291" s="10">
        <v>45637</v>
      </c>
      <c r="E291" s="8" t="s">
        <v>15</v>
      </c>
      <c r="F291" s="11">
        <v>15</v>
      </c>
      <c r="G291" s="8" t="s">
        <v>20</v>
      </c>
      <c r="H291" s="8" t="s">
        <v>15</v>
      </c>
      <c r="I291" s="11">
        <v>30</v>
      </c>
      <c r="J291" s="8" t="s">
        <v>15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300</v>
      </c>
      <c r="C292" s="8" t="s">
        <v>22</v>
      </c>
      <c r="D292" s="10">
        <v>45638</v>
      </c>
      <c r="E292" s="8" t="s">
        <v>19</v>
      </c>
      <c r="F292" s="11">
        <v>10</v>
      </c>
      <c r="G292" s="8" t="s">
        <v>16</v>
      </c>
      <c r="H292" s="8" t="s">
        <v>19</v>
      </c>
      <c r="I292" s="11" t="s">
        <v>307</v>
      </c>
      <c r="J292" s="8" t="s">
        <v>15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301</v>
      </c>
      <c r="C293" s="8" t="s">
        <v>18</v>
      </c>
      <c r="D293" s="10">
        <v>45639</v>
      </c>
      <c r="E293" s="8" t="s">
        <v>15</v>
      </c>
      <c r="F293" s="11">
        <v>5</v>
      </c>
      <c r="G293" s="8" t="s">
        <v>23</v>
      </c>
      <c r="H293" s="8" t="s">
        <v>19</v>
      </c>
      <c r="I293" s="11" t="s">
        <v>307</v>
      </c>
      <c r="J293" s="8" t="s">
        <v>19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302</v>
      </c>
      <c r="C294" s="8" t="s">
        <v>14</v>
      </c>
      <c r="D294" s="10">
        <v>45640</v>
      </c>
      <c r="E294" s="8" t="s">
        <v>19</v>
      </c>
      <c r="F294" s="11">
        <v>15</v>
      </c>
      <c r="G294" s="8" t="s">
        <v>16</v>
      </c>
      <c r="H294" s="8" t="s">
        <v>15</v>
      </c>
      <c r="I294" s="11">
        <v>30</v>
      </c>
      <c r="J294" s="8" t="s">
        <v>15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303</v>
      </c>
      <c r="C295" s="8" t="s">
        <v>22</v>
      </c>
      <c r="D295" s="10">
        <v>45641</v>
      </c>
      <c r="E295" s="8" t="s">
        <v>15</v>
      </c>
      <c r="F295" s="11">
        <v>10</v>
      </c>
      <c r="G295" s="8" t="s">
        <v>20</v>
      </c>
      <c r="H295" s="8" t="s">
        <v>19</v>
      </c>
      <c r="I295" s="11" t="s">
        <v>307</v>
      </c>
      <c r="J295" s="8" t="s">
        <v>15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304</v>
      </c>
      <c r="C296" s="8" t="s">
        <v>18</v>
      </c>
      <c r="D296" s="10">
        <v>45642</v>
      </c>
      <c r="E296" s="8" t="s">
        <v>19</v>
      </c>
      <c r="F296" s="11">
        <v>5</v>
      </c>
      <c r="G296" s="8" t="s">
        <v>16</v>
      </c>
      <c r="H296" s="8" t="s">
        <v>19</v>
      </c>
      <c r="I296" s="11" t="s">
        <v>307</v>
      </c>
      <c r="J296" s="8" t="s">
        <v>19</v>
      </c>
      <c r="K296" s="11">
        <v>0</v>
      </c>
      <c r="L296" s="11">
        <v>1</v>
      </c>
      <c r="M296" s="11">
        <v>4</v>
      </c>
    </row>
    <row r="297" spans="1:13">
      <c r="A297" s="8" t="s">
        <v>313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13">
        <f>SUBTOTAL(109,Tabela1[Total Value])</f>
        <v>5388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K93"/>
  <sheetViews>
    <sheetView showGridLines="0" topLeftCell="A72" zoomScale="73" zoomScaleNormal="73" workbookViewId="0">
      <selection activeCell="C93" sqref="C93"/>
    </sheetView>
  </sheetViews>
  <sheetFormatPr defaultRowHeight="14.25"/>
  <cols>
    <col min="2" max="2" width="23.125" bestFit="1" customWidth="1"/>
    <col min="3" max="3" width="12.5" bestFit="1" customWidth="1"/>
    <col min="4" max="4" width="20.625" bestFit="1" customWidth="1"/>
    <col min="5" max="5" width="11.25" bestFit="1" customWidth="1"/>
    <col min="6" max="6" width="20.375" bestFit="1" customWidth="1"/>
    <col min="7" max="7" width="23.125" bestFit="1" customWidth="1"/>
    <col min="8" max="8" width="21.125" bestFit="1" customWidth="1"/>
    <col min="9" max="9" width="33.625" bestFit="1" customWidth="1"/>
    <col min="10" max="10" width="32" bestFit="1" customWidth="1"/>
    <col min="11" max="11" width="9.375" bestFit="1" customWidth="1"/>
    <col min="12" max="14" width="9.75" bestFit="1" customWidth="1"/>
    <col min="15" max="15" width="15.625" bestFit="1" customWidth="1"/>
    <col min="16" max="16" width="12.125" bestFit="1" customWidth="1"/>
  </cols>
  <sheetData>
    <row r="5" spans="2:9">
      <c r="B5" s="14" t="s">
        <v>314</v>
      </c>
      <c r="C5" t="s">
        <v>319</v>
      </c>
      <c r="F5" t="s">
        <v>321</v>
      </c>
      <c r="I5" t="s">
        <v>325</v>
      </c>
    </row>
    <row r="6" spans="2:9">
      <c r="B6" s="15" t="s">
        <v>18</v>
      </c>
      <c r="C6">
        <v>444</v>
      </c>
      <c r="F6">
        <v>295</v>
      </c>
      <c r="I6">
        <v>9.9491525423728806</v>
      </c>
    </row>
    <row r="7" spans="2:9">
      <c r="B7" s="15" t="s">
        <v>22</v>
      </c>
      <c r="C7">
        <v>1801</v>
      </c>
    </row>
    <row r="8" spans="2:9">
      <c r="B8" s="15" t="s">
        <v>14</v>
      </c>
      <c r="C8">
        <v>5388</v>
      </c>
    </row>
    <row r="9" spans="2:9">
      <c r="B9" s="15" t="s">
        <v>315</v>
      </c>
      <c r="C9">
        <v>7633</v>
      </c>
    </row>
    <row r="12" spans="2:9">
      <c r="C12" s="19">
        <f>GETPIVOTDATA("Total Value",$B$5)</f>
        <v>7633</v>
      </c>
    </row>
    <row r="15" spans="2:9">
      <c r="G15" s="17"/>
    </row>
    <row r="17" spans="2:8">
      <c r="F17" s="14" t="s">
        <v>12</v>
      </c>
      <c r="G17" t="s">
        <v>316</v>
      </c>
    </row>
    <row r="18" spans="2:8">
      <c r="H18" s="20">
        <f>GETPIVOTDATA("Minecraft Season Pass Price",$F$19)</f>
        <v>3880</v>
      </c>
    </row>
    <row r="19" spans="2:8">
      <c r="B19" s="14" t="s">
        <v>12</v>
      </c>
      <c r="C19" t="s">
        <v>316</v>
      </c>
      <c r="F19" s="14" t="s">
        <v>314</v>
      </c>
      <c r="G19" t="s">
        <v>322</v>
      </c>
    </row>
    <row r="20" spans="2:8">
      <c r="F20" s="15" t="s">
        <v>18</v>
      </c>
      <c r="G20">
        <v>0</v>
      </c>
    </row>
    <row r="21" spans="2:8">
      <c r="B21" s="14" t="s">
        <v>314</v>
      </c>
      <c r="C21" t="s">
        <v>318</v>
      </c>
      <c r="F21" s="15" t="s">
        <v>22</v>
      </c>
      <c r="G21">
        <v>1920</v>
      </c>
    </row>
    <row r="22" spans="2:8">
      <c r="B22" s="15" t="s">
        <v>14</v>
      </c>
      <c r="C22" s="18">
        <v>2940</v>
      </c>
      <c r="F22" s="15" t="s">
        <v>14</v>
      </c>
      <c r="G22">
        <v>1960</v>
      </c>
    </row>
    <row r="23" spans="2:8">
      <c r="B23" s="15" t="s">
        <v>315</v>
      </c>
      <c r="C23" s="18">
        <v>2940</v>
      </c>
      <c r="F23" s="15" t="s">
        <v>315</v>
      </c>
      <c r="G23" s="19">
        <v>3880</v>
      </c>
    </row>
    <row r="26" spans="2:8">
      <c r="F26" t="s">
        <v>323</v>
      </c>
    </row>
    <row r="27" spans="2:8">
      <c r="F27">
        <v>2122</v>
      </c>
    </row>
    <row r="28" spans="2:8">
      <c r="C28" s="19">
        <f>GETPIVOTDATA("EA Play Season Pass
Price",$B$21)</f>
        <v>2940</v>
      </c>
    </row>
    <row r="33" spans="2:11">
      <c r="B33" s="14" t="s">
        <v>314</v>
      </c>
      <c r="C33" t="s">
        <v>320</v>
      </c>
    </row>
    <row r="34" spans="2:11">
      <c r="B34" s="16">
        <v>0</v>
      </c>
      <c r="C34">
        <v>5</v>
      </c>
    </row>
    <row r="35" spans="2:11">
      <c r="B35" s="16">
        <v>1</v>
      </c>
      <c r="C35">
        <v>4</v>
      </c>
    </row>
    <row r="36" spans="2:11">
      <c r="B36" s="16">
        <v>2</v>
      </c>
      <c r="C36">
        <v>5.083333333333333</v>
      </c>
    </row>
    <row r="37" spans="2:11">
      <c r="B37" s="16">
        <v>3</v>
      </c>
      <c r="C37">
        <v>62</v>
      </c>
    </row>
    <row r="38" spans="2:11">
      <c r="B38" s="16">
        <v>5</v>
      </c>
      <c r="C38">
        <v>46</v>
      </c>
    </row>
    <row r="39" spans="2:11">
      <c r="B39" s="16">
        <v>7</v>
      </c>
      <c r="C39">
        <v>58</v>
      </c>
    </row>
    <row r="40" spans="2:11">
      <c r="B40" s="16">
        <v>8</v>
      </c>
      <c r="C40">
        <v>57</v>
      </c>
    </row>
    <row r="41" spans="2:11">
      <c r="B41" s="16">
        <v>10</v>
      </c>
      <c r="C41">
        <v>20.795454545454547</v>
      </c>
    </row>
    <row r="42" spans="2:11">
      <c r="B42" s="16">
        <v>12</v>
      </c>
      <c r="C42">
        <v>18</v>
      </c>
    </row>
    <row r="43" spans="2:11">
      <c r="B43" s="16">
        <v>15</v>
      </c>
      <c r="C43">
        <v>26.413043478260871</v>
      </c>
    </row>
    <row r="44" spans="2:11">
      <c r="B44" s="16">
        <v>20</v>
      </c>
      <c r="C44">
        <v>45</v>
      </c>
    </row>
    <row r="45" spans="2:11">
      <c r="B45" s="16" t="s">
        <v>315</v>
      </c>
      <c r="C45">
        <v>25.874576271186442</v>
      </c>
    </row>
    <row r="48" spans="2:11">
      <c r="J48" s="14" t="s">
        <v>9</v>
      </c>
      <c r="K48" t="s">
        <v>316</v>
      </c>
    </row>
    <row r="50" spans="2:11">
      <c r="J50" t="s">
        <v>324</v>
      </c>
    </row>
    <row r="51" spans="2:11">
      <c r="B51" s="14" t="s">
        <v>314</v>
      </c>
      <c r="C51" t="s">
        <v>317</v>
      </c>
      <c r="J51">
        <v>9.9491525423728806</v>
      </c>
    </row>
    <row r="52" spans="2:11">
      <c r="B52" s="15" t="s">
        <v>20</v>
      </c>
      <c r="C52">
        <v>71</v>
      </c>
    </row>
    <row r="53" spans="2:11">
      <c r="B53" s="15" t="s">
        <v>16</v>
      </c>
      <c r="C53">
        <v>139</v>
      </c>
    </row>
    <row r="54" spans="2:11">
      <c r="B54" s="15" t="s">
        <v>23</v>
      </c>
      <c r="C54">
        <v>85</v>
      </c>
    </row>
    <row r="55" spans="2:11">
      <c r="B55" s="15" t="s">
        <v>315</v>
      </c>
      <c r="C55">
        <v>295</v>
      </c>
    </row>
    <row r="58" spans="2:11">
      <c r="K58" s="19">
        <f>GETPIVOTDATA("Subscription Price",$J$50)</f>
        <v>9.9491525423728806</v>
      </c>
    </row>
    <row r="59" spans="2:11">
      <c r="K59" s="19"/>
    </row>
    <row r="66" spans="2:6">
      <c r="B66" s="14" t="s">
        <v>327</v>
      </c>
      <c r="C66" s="14" t="s">
        <v>326</v>
      </c>
    </row>
    <row r="67" spans="2:6">
      <c r="B67" s="14" t="s">
        <v>314</v>
      </c>
      <c r="C67" t="s">
        <v>19</v>
      </c>
      <c r="D67" t="s">
        <v>15</v>
      </c>
      <c r="E67" t="s">
        <v>315</v>
      </c>
    </row>
    <row r="68" spans="2:6">
      <c r="B68" s="15" t="s">
        <v>20</v>
      </c>
      <c r="C68">
        <v>11</v>
      </c>
      <c r="D68">
        <v>60</v>
      </c>
      <c r="E68">
        <v>71</v>
      </c>
    </row>
    <row r="69" spans="2:6">
      <c r="B69" s="15" t="s">
        <v>16</v>
      </c>
      <c r="C69">
        <v>111</v>
      </c>
      <c r="D69">
        <v>28</v>
      </c>
      <c r="E69">
        <v>139</v>
      </c>
    </row>
    <row r="70" spans="2:6">
      <c r="B70" s="15" t="s">
        <v>23</v>
      </c>
      <c r="C70">
        <v>25</v>
      </c>
      <c r="D70">
        <v>60</v>
      </c>
      <c r="E70">
        <v>85</v>
      </c>
      <c r="F70" s="17"/>
    </row>
    <row r="71" spans="2:6">
      <c r="B71" s="15" t="s">
        <v>315</v>
      </c>
      <c r="C71">
        <v>147</v>
      </c>
      <c r="D71">
        <v>148</v>
      </c>
      <c r="E71">
        <v>295</v>
      </c>
      <c r="F71">
        <f>GETPIVOTDATA("Subscriber ID",$B$66)</f>
        <v>295</v>
      </c>
    </row>
    <row r="72" spans="2:6">
      <c r="F72" s="21"/>
    </row>
    <row r="90" spans="2:3">
      <c r="B90" s="14" t="s">
        <v>12</v>
      </c>
      <c r="C90" t="s">
        <v>316</v>
      </c>
    </row>
    <row r="92" spans="2:3">
      <c r="B92" t="s">
        <v>329</v>
      </c>
    </row>
    <row r="93" spans="2:3" ht="16.5">
      <c r="B93" s="12">
        <v>7633</v>
      </c>
      <c r="C93" s="27">
        <f>GETPIVOTDATA("ticket_médio",$B$92)</f>
        <v>7633</v>
      </c>
    </row>
  </sheetData>
  <pageMargins left="0.511811024" right="0.511811024" top="0.78740157499999996" bottom="0.78740157499999996" header="0.31496062000000002" footer="0.31496062000000002"/>
  <pageSetup paperSize="9" orientation="portrait" r:id="rId12"/>
  <drawing r:id="rId13"/>
  <extLst>
    <ext xmlns:x14="http://schemas.microsoft.com/office/spreadsheetml/2009/9/main" uri="{A8765BA9-456A-4dab-B4F3-ACF838C121DE}">
      <x14:slicerList>
        <x14:slicer r:id="rId1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4:DH50"/>
  <sheetViews>
    <sheetView showGridLines="0" tabSelected="1" zoomScale="53" zoomScaleNormal="53" workbookViewId="0">
      <selection activeCell="A14" sqref="A14"/>
    </sheetView>
  </sheetViews>
  <sheetFormatPr defaultRowHeight="14.25"/>
  <cols>
    <col min="1" max="1" width="26.125" style="5" customWidth="1"/>
    <col min="2" max="5" width="3.625" style="7" customWidth="1"/>
    <col min="6" max="14" width="9" style="7"/>
    <col min="15" max="15" width="6.625" style="7" customWidth="1"/>
    <col min="16" max="30" width="9" style="7"/>
    <col min="31" max="83" width="9" style="23"/>
    <col min="84" max="112" width="9" style="22"/>
  </cols>
  <sheetData>
    <row r="4" spans="1:23" ht="69.75" thickBot="1">
      <c r="F4" s="24" t="s">
        <v>330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8"/>
    </row>
    <row r="5" spans="1:23" ht="36" customHeight="1" thickTop="1">
      <c r="F5" s="29"/>
    </row>
    <row r="6" spans="1:23" ht="8.25" customHeight="1"/>
    <row r="7" spans="1:23" ht="7.5" customHeight="1"/>
    <row r="8" spans="1:23" ht="10.5" customHeight="1"/>
    <row r="9" spans="1:23" ht="9.75" customHeight="1"/>
    <row r="10" spans="1:23" ht="33" customHeight="1">
      <c r="A10" s="30" t="s">
        <v>331</v>
      </c>
    </row>
    <row r="14" spans="1:23">
      <c r="A14" s="31"/>
    </row>
    <row r="25" spans="27:27">
      <c r="AA25" s="7" t="s">
        <v>328</v>
      </c>
    </row>
    <row r="35" spans="14:33">
      <c r="T35" s="7">
        <f>C̳álculos!K57</f>
        <v>0</v>
      </c>
    </row>
    <row r="36" spans="14:33">
      <c r="AG36" s="26"/>
    </row>
    <row r="44" spans="14:33">
      <c r="N44" s="28"/>
    </row>
    <row r="50" spans="18:18">
      <c r="R50" s="2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Pedro</cp:lastModifiedBy>
  <dcterms:created xsi:type="dcterms:W3CDTF">2024-12-19T13:13:10Z</dcterms:created>
  <dcterms:modified xsi:type="dcterms:W3CDTF">2025-01-22T23:18:52Z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